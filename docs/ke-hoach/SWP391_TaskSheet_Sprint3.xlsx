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sk Sprint 3" sheetId="1" state="visible" r:id="rId1"/>
    <sheet xmlns:r="http://schemas.openxmlformats.org/officeDocument/2006/relationships" name="Tổng hợp" sheetId="2" state="visible" r:id="rId2"/>
    <sheet xmlns:r="http://schemas.openxmlformats.org/officeDocument/2006/relationships" name="Ngoài kế hoạch" sheetId="3" state="visible" r:id="rId3"/>
  </sheets>
  <definedNames>
    <definedName name="_xlnm._FilterDatabase" localSheetId="0" hidden="1">'Task Sprint 3'!$A$4:$L$123</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Arial"/>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1"/>
    </font>
    <font>
      <name val="Times New Roman"/>
      <charset val="163"/>
      <family val="1"/>
      <b val="1"/>
      <color rgb="FFFFFFFF"/>
      <sz val="11"/>
    </font>
    <font>
      <name val="Times New Roman"/>
      <charset val="163"/>
      <family val="1"/>
      <color theme="1"/>
      <sz val="11"/>
    </font>
    <font>
      <name val="Arial"/>
      <charset val="1"/>
      <family val="0"/>
      <b val="1"/>
      <sz val="13"/>
    </font>
    <font>
      <name val="Arial"/>
      <charset val="1"/>
      <family val="0"/>
      <b val="1"/>
      <color rgb="FFFFFFFF"/>
      <sz val="11"/>
    </font>
    <font>
      <name val="Arial"/>
      <charset val="1"/>
      <family val="0"/>
      <b val="1"/>
      <sz val="11"/>
    </font>
  </fonts>
  <fills count="5">
    <fill>
      <patternFill/>
    </fill>
    <fill>
      <patternFill patternType="gray125"/>
    </fill>
    <fill>
      <patternFill patternType="solid">
        <fgColor rgb="FF1F4E78"/>
        <bgColor rgb="FF003366"/>
      </patternFill>
    </fill>
    <fill>
      <patternFill patternType="solid">
        <fgColor rgb="FFDDEBF7"/>
        <bgColor rgb="FFF2F2F2"/>
      </patternFill>
    </fill>
    <fill>
      <patternFill patternType="solid">
        <fgColor rgb="FFFCE4D6"/>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4"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9"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0" fillId="0" borderId="1" applyAlignment="1" pivotButton="0" quotePrefix="0" xfId="0">
      <alignment horizontal="general" vertical="bottom"/>
    </xf>
    <xf numFmtId="9" fontId="0" fillId="0" borderId="1" applyAlignment="1" pivotButton="0" quotePrefix="0" xfId="0">
      <alignment horizontal="general" vertical="bottom"/>
    </xf>
    <xf numFmtId="0" fontId="10" fillId="0" borderId="0" applyAlignment="1" pivotButton="0" quotePrefix="0" xfId="0">
      <alignment horizontal="general" vertical="bottom"/>
    </xf>
    <xf numFmtId="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F2F2F2"/>
          <bgColor rgb="FF000000"/>
        </patternFill>
      </fill>
    </dxf>
    <dxf>
      <fill>
        <patternFill>
          <bgColor rgb="FFC6EFCE"/>
        </patternFill>
      </fill>
    </dxf>
    <dxf>
      <fill>
        <patternFill>
          <bgColor rgb="FFDDEBF7"/>
        </patternFill>
      </fill>
    </dxf>
    <dxf>
      <fill>
        <patternFill>
          <bgColor rgb="FFFFEB9C"/>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23"/>
  <sheetViews>
    <sheetView showFormulas="0" showGridLines="1" showRowColHeaders="1" showZeros="1" rightToLeft="0" tabSelected="1" showOutlineSymbols="1" defaultGridColor="1" view="normal" topLeftCell="A1" colorId="64" zoomScale="55" zoomScaleNormal="5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G25" activeCellId="0" sqref="G25"/>
    </sheetView>
  </sheetViews>
  <sheetFormatPr baseColWidth="8" defaultColWidth="8.6171875" defaultRowHeight="13.5" customHeight="0" zeroHeight="0" outlineLevelRow="0"/>
  <cols>
    <col width="9" customWidth="1" style="17" min="1" max="1"/>
    <col width="11" customWidth="1" style="17" min="2" max="2"/>
    <col width="42" customWidth="1" style="17" min="3" max="3"/>
    <col width="6" customWidth="1" style="17" min="4" max="4"/>
    <col width="11" customWidth="1" style="17" min="5" max="5"/>
    <col width="9" customWidth="1" style="17" min="6" max="6"/>
    <col width="70" customWidth="1" style="17" min="7" max="7"/>
    <col width="20" customWidth="1" style="17" min="8" max="8"/>
    <col width="11" customWidth="1" style="17" min="9" max="10"/>
    <col width="13" customWidth="1" style="17" min="11" max="11"/>
    <col width="30" customWidth="1" style="17" min="12" max="12"/>
  </cols>
  <sheetData>
    <row r="1" ht="17.25" customHeight="1" s="18">
      <c r="A1" s="19" t="inlineStr">
        <is>
          <t>SWP391 – TASK SHEET SPRINT 3 (20/10 → 02/11) – Flow 3 Payment &amp; Report + SePay đối soát, làm sâu ngoại lệ Flow 1, 2, điểm danh, sửa UI</t>
        </is>
      </c>
    </row>
    <row r="2" ht="14.25" customHeight="1" s="18">
      <c r="A2" s="20" t="inlineStr">
        <is>
          <t>BE: Nhanh (SePay) + Bảo · FE: Khôi + Khải (Khải nhiều UI nhất) · chia lại 14/10/2026 để Bảo, Khôi, Khải làm nhiều hơn · Business rule theo SWP391_UCP_Sprint_Role_Split · task Review có nhánh feature/f3-sepay-online-payment là Nhanh đã làm trước (PR #3) · UI-F1/UI-F2 là task sửa giao diện từ rà soát ảnh chụp 14/10</t>
        </is>
      </c>
    </row>
    <row r="4" ht="13.5" customHeight="1" s="18">
      <c r="A4" s="21" t="inlineStr">
        <is>
          <t>Task ID</t>
        </is>
      </c>
      <c r="B4" s="21" t="inlineStr">
        <is>
          <t>US</t>
        </is>
      </c>
      <c r="C4" s="21" t="inlineStr">
        <is>
          <t>Function / Screen</t>
        </is>
      </c>
      <c r="D4" s="21" t="inlineStr">
        <is>
          <t>Loại</t>
        </is>
      </c>
      <c r="E4" s="21" t="inlineStr">
        <is>
          <t>Người làm</t>
        </is>
      </c>
      <c r="F4" s="21" t="inlineStr">
        <is>
          <t>Level</t>
        </is>
      </c>
      <c r="G4" s="21" t="inlineStr">
        <is>
          <t>Business Rule</t>
        </is>
      </c>
      <c r="H4" s="21" t="inlineStr">
        <is>
          <t>Nhánh</t>
        </is>
      </c>
      <c r="I4" s="21" t="inlineStr">
        <is>
          <t>Bắt đầu</t>
        </is>
      </c>
      <c r="J4" s="21" t="inlineStr">
        <is>
          <t>Hạn</t>
        </is>
      </c>
      <c r="K4" s="21" t="inlineStr">
        <is>
          <t>Trạng thái</t>
        </is>
      </c>
      <c r="L4" s="21" t="inlineStr">
        <is>
          <t>Ghi chú</t>
        </is>
      </c>
    </row>
    <row r="5" ht="60" customHeight="1" s="18">
      <c r="A5" s="22" t="inlineStr">
        <is>
          <t>S3-01</t>
        </is>
      </c>
      <c r="B5" s="22" t="inlineStr">
        <is>
          <t>UC-UM-12</t>
        </is>
      </c>
      <c r="C5" s="23" t="inlineStr">
        <is>
          <t>BE – Gửi link đặt lại mật khẩu (màn S19): người dùng nhập email yêu cầu reset; hệ thống tạo link một lần và gửi thông báo mà không tiết lộ email có tồn tại hay không.</t>
        </is>
      </c>
      <c r="D5" s="24" t="inlineStr">
        <is>
          <t>BE</t>
        </is>
      </c>
      <c r="E5" s="22" t="inlineStr">
        <is>
          <t>Nhanh</t>
        </is>
      </c>
      <c r="F5" s="22" t="inlineStr">
        <is>
          <t>Medium</t>
        </is>
      </c>
      <c r="G5" s="23" t="inlineStr">
        <is>
          <t>Token reset là token một lần, hết hạn sau 15 phút theo BR-1.7. Hệ thống luôn trả thông báo chung kiểu “nếu email tồn tại đã gửi” để không dò tài khoản; không ghi token thô vào log.</t>
        </is>
      </c>
      <c r="H5" s="22" t="inlineStr">
        <is>
          <t>feature/f3-sepay-online-payment</t>
        </is>
      </c>
      <c r="I5" s="22" t="inlineStr">
        <is>
          <t>20/10/2026</t>
        </is>
      </c>
      <c r="J5" s="22" t="inlineStr">
        <is>
          <t>02/11/2026</t>
        </is>
      </c>
      <c r="K5" s="22" t="inlineStr">
        <is>
          <t>Review</t>
        </is>
      </c>
      <c r="L5" s="23" t="inlineStr">
        <is>
          <t>Kế hoạch: BE Bảo. Nhanh đã làm trước ở sprint bổ sung. Đã xong 14/10/2026, nằm trong PR #3 chờ review</t>
        </is>
      </c>
    </row>
    <row r="6" ht="60" customHeight="1" s="18">
      <c r="A6" s="22" t="inlineStr">
        <is>
          <t>S3-02</t>
        </is>
      </c>
      <c r="B6" s="22" t="inlineStr">
        <is>
          <t>UC-UM-12</t>
        </is>
      </c>
      <c r="C6" s="23" t="inlineStr">
        <is>
          <t>FE – Gửi link đặt lại mật khẩu (màn S19): người dùng nhập email yêu cầu reset; hệ thống tạo link một lần và gửi thông báo mà không tiết lộ email có tồn tại hay không.</t>
        </is>
      </c>
      <c r="D6" s="24" t="inlineStr">
        <is>
          <t>FE</t>
        </is>
      </c>
      <c r="E6" s="22" t="inlineStr">
        <is>
          <t>Nhanh</t>
        </is>
      </c>
      <c r="F6" s="22" t="inlineStr">
        <is>
          <t>Medium</t>
        </is>
      </c>
      <c r="G6" s="23" t="inlineStr">
        <is>
          <t>Token reset là token một lần, hết hạn sau 15 phút theo BR-1.7. Hệ thống luôn trả thông báo chung kiểu “nếu email tồn tại đã gửi” để không dò tài khoản; không ghi token thô vào log.</t>
        </is>
      </c>
      <c r="H6" s="22" t="inlineStr">
        <is>
          <t>feature/f3-sepay-online-payment</t>
        </is>
      </c>
      <c r="I6" s="22" t="inlineStr">
        <is>
          <t>20/10/2026</t>
        </is>
      </c>
      <c r="J6" s="22" t="inlineStr">
        <is>
          <t>02/11/2026</t>
        </is>
      </c>
      <c r="K6" s="22" t="inlineStr">
        <is>
          <t>Review</t>
        </is>
      </c>
      <c r="L6" s="23" t="inlineStr">
        <is>
          <t>Kế hoạch: FE Khôi. Nhanh đã làm trước ở sprint bổ sung. Đã xong 14/10/2026, nằm trong PR #3 chờ review</t>
        </is>
      </c>
    </row>
    <row r="7" ht="46.5" customHeight="1" s="18">
      <c r="A7" s="22" t="inlineStr">
        <is>
          <t>S3-03</t>
        </is>
      </c>
      <c r="B7" s="22" t="inlineStr">
        <is>
          <t>UC-UM-12</t>
        </is>
      </c>
      <c r="C7" s="23" t="inlineStr">
        <is>
          <t>BE – Đặt lại mật khẩu (màn S19): người dùng mở link còn hiệu lực và nhập mật khẩu mới; hệ thống xác nhận token trước khi cập nhật mật khẩu.</t>
        </is>
      </c>
      <c r="D7" s="24" t="inlineStr">
        <is>
          <t>BE</t>
        </is>
      </c>
      <c r="E7" s="22" t="inlineStr">
        <is>
          <t>Nhanh</t>
        </is>
      </c>
      <c r="F7" s="22" t="inlineStr">
        <is>
          <t>Medium</t>
        </is>
      </c>
      <c r="G7" s="23" t="inlineStr">
        <is>
          <t>Token phải còn hạn và chưa dùng; mật khẩu mới tối thiểu 8 ký tự và lưu mã hoá. Token sai/hết hạn/đã dùng bị từ chối; không lộ thông tin tài khoản.</t>
        </is>
      </c>
      <c r="H7" s="22" t="inlineStr">
        <is>
          <t>feature/f3-sepay-online-payment</t>
        </is>
      </c>
      <c r="I7" s="22" t="inlineStr">
        <is>
          <t>20/10/2026</t>
        </is>
      </c>
      <c r="J7" s="22" t="inlineStr">
        <is>
          <t>02/11/2026</t>
        </is>
      </c>
      <c r="K7" s="22" t="inlineStr">
        <is>
          <t>Review</t>
        </is>
      </c>
      <c r="L7" s="23" t="inlineStr">
        <is>
          <t>Kế hoạch: BE Bảo. Nhanh đã làm trước ở sprint bổ sung. Đã xong 14/10/2026, nằm trong PR #3 chờ review</t>
        </is>
      </c>
    </row>
    <row r="8" ht="46.5" customHeight="1" s="18">
      <c r="A8" s="22" t="inlineStr">
        <is>
          <t>S3-04</t>
        </is>
      </c>
      <c r="B8" s="22" t="inlineStr">
        <is>
          <t>UC-UM-12</t>
        </is>
      </c>
      <c r="C8" s="23" t="inlineStr">
        <is>
          <t>FE – Đặt lại mật khẩu (màn S19): người dùng mở link còn hiệu lực và nhập mật khẩu mới; hệ thống xác nhận token trước khi cập nhật mật khẩu.</t>
        </is>
      </c>
      <c r="D8" s="24" t="inlineStr">
        <is>
          <t>FE</t>
        </is>
      </c>
      <c r="E8" s="22" t="inlineStr">
        <is>
          <t>Nhanh</t>
        </is>
      </c>
      <c r="F8" s="22" t="inlineStr">
        <is>
          <t>Medium</t>
        </is>
      </c>
      <c r="G8" s="23" t="inlineStr">
        <is>
          <t>Token phải còn hạn và chưa dùng; mật khẩu mới tối thiểu 8 ký tự và lưu mã hoá. Token sai/hết hạn/đã dùng bị từ chối; không lộ thông tin tài khoản.</t>
        </is>
      </c>
      <c r="H8" s="22" t="inlineStr">
        <is>
          <t>feature/f3-sepay-online-payment</t>
        </is>
      </c>
      <c r="I8" s="22" t="inlineStr">
        <is>
          <t>20/10/2026</t>
        </is>
      </c>
      <c r="J8" s="22" t="inlineStr">
        <is>
          <t>02/11/2026</t>
        </is>
      </c>
      <c r="K8" s="22" t="inlineStr">
        <is>
          <t>Review</t>
        </is>
      </c>
      <c r="L8" s="23" t="inlineStr">
        <is>
          <t>Kế hoạch: FE Khôi. Nhanh đã làm trước ở sprint bổ sung. Đã xong 14/10/2026, nằm trong PR #3 chờ review</t>
        </is>
      </c>
    </row>
    <row r="9" ht="60" customHeight="1" s="18">
      <c r="A9" s="22" t="inlineStr">
        <is>
          <t>S3-05</t>
        </is>
      </c>
      <c r="B9" s="22" t="inlineStr">
        <is>
          <t>UC-UM-04</t>
        </is>
      </c>
      <c r="C9" s="23" t="inlineStr">
        <is>
          <t>BE – Chọn gói, tạo hoá đơn (online) (màn 14): Member chọn gói đang bán; hệ thống tạo hoặc tái sử dụng hoá đơn PENDING, sinh mã/QR và bắt đầu thời gian chờ thanh toán.</t>
        </is>
      </c>
      <c r="D9" s="24" t="inlineStr">
        <is>
          <t>BE</t>
        </is>
      </c>
      <c r="E9" s="22" t="inlineStr">
        <is>
          <t>Nhanh</t>
        </is>
      </c>
      <c r="F9" s="22" t="inlineStr">
        <is>
          <t>Medium</t>
        </is>
      </c>
      <c r="G9" s="23" t="inlineStr">
        <is>
          <t>BR-1.6: chỉ gói SELLING; BR-1.13/BR-PAY-12: mỗi member tối đa một invoice PENDING cho cùng gói và tái sử dụng invoice còn hạn. Mã invoice do server sinh duy nhất theo BR-PAY-01; timeout mặc định 15 phút theo BR-3.4.</t>
        </is>
      </c>
      <c r="H9" s="22" t="inlineStr">
        <is>
          <t>feature/f3-sepay-online-payment</t>
        </is>
      </c>
      <c r="I9" s="22" t="inlineStr">
        <is>
          <t>20/10/2026</t>
        </is>
      </c>
      <c r="J9" s="22" t="inlineStr">
        <is>
          <t>02/11/2026</t>
        </is>
      </c>
      <c r="K9" s="22" t="inlineStr">
        <is>
          <t>Review</t>
        </is>
      </c>
      <c r="L9" s="23" t="inlineStr">
        <is>
          <t>Nhanh đã làm ở sprint bổ sung. Đã xong 14/10/2026, nằm trong PR #3 chờ review</t>
        </is>
      </c>
    </row>
    <row r="10" ht="60" customHeight="1" s="18">
      <c r="A10" s="22" t="inlineStr">
        <is>
          <t>S3-06</t>
        </is>
      </c>
      <c r="B10" s="22" t="inlineStr">
        <is>
          <t>UC-UM-04</t>
        </is>
      </c>
      <c r="C10" s="23" t="inlineStr">
        <is>
          <t>FE – Chọn gói, tạo hoá đơn (online) (màn 14): Member chọn gói đang bán; hệ thống tạo hoặc tái sử dụng hoá đơn PENDING, sinh mã/QR và bắt đầu thời gian chờ thanh toán.</t>
        </is>
      </c>
      <c r="D10" s="24" t="inlineStr">
        <is>
          <t>FE</t>
        </is>
      </c>
      <c r="E10" s="22" t="inlineStr">
        <is>
          <t>Nhanh</t>
        </is>
      </c>
      <c r="F10" s="22" t="inlineStr">
        <is>
          <t>Medium</t>
        </is>
      </c>
      <c r="G10" s="23" t="inlineStr">
        <is>
          <t>BR-1.6: chỉ gói SELLING; BR-1.13/BR-PAY-12: mỗi member tối đa một invoice PENDING cho cùng gói và tái sử dụng invoice còn hạn. Mã invoice do server sinh duy nhất theo BR-PAY-01; timeout mặc định 15 phút theo BR-3.4.</t>
        </is>
      </c>
      <c r="H10" s="22" t="inlineStr">
        <is>
          <t>feature/f3-sepay-online-payment</t>
        </is>
      </c>
      <c r="I10" s="22" t="inlineStr">
        <is>
          <t>20/10/2026</t>
        </is>
      </c>
      <c r="J10" s="22" t="inlineStr">
        <is>
          <t>02/11/2026</t>
        </is>
      </c>
      <c r="K10" s="22" t="inlineStr">
        <is>
          <t>Review</t>
        </is>
      </c>
      <c r="L10" s="23" t="inlineStr">
        <is>
          <t>Kế hoạch: FE Khải. Nhanh đã làm trước ở sprint bổ sung. Đã xong 14/10/2026, nằm trong PR #3 chờ review</t>
        </is>
      </c>
    </row>
    <row r="11" ht="73.5" customHeight="1" s="18">
      <c r="A11" s="22" t="inlineStr">
        <is>
          <t>S3-07</t>
        </is>
      </c>
      <c r="B11" s="22" t="inlineStr">
        <is>
          <t>UC-UM-10</t>
        </is>
      </c>
      <c r="C11" s="23" t="inlineStr">
        <is>
          <t>BE – Job nhắc gia hạn: job định kỳ tìm membership sắp hết hạn và tạo thông báo nhắc gia hạn theo số ngày được cấu hình. Bổ sung: cùng job chuyển membership quá hạn sang EXPIRED và gửi thông báo "gói đã hết hạn" kèm nút gia hạn.</t>
        </is>
      </c>
      <c r="D11" s="24" t="inlineStr">
        <is>
          <t>BE</t>
        </is>
      </c>
      <c r="E11" s="22" t="inlineStr">
        <is>
          <t>Bảo</t>
        </is>
      </c>
      <c r="F11" s="22" t="inlineStr">
        <is>
          <t>Medium</t>
        </is>
      </c>
      <c r="G11" s="23" t="inlineStr">
        <is>
          <t>Số ngày nhắc lấy từ cấu hình. Mỗi membership chỉ được nhắc một lần; bỏ qua nếu hội viên đã gia hạn hoặc gói đã hết hạn theo BR-1.11. Job chạy theo ngày lịch và múi giờ Việt Nam, có log để chống gửi trùng.</t>
        </is>
      </c>
      <c r="H11" s="22" t="inlineStr">
        <is>
          <t>sprint-3/be-bao</t>
        </is>
      </c>
      <c r="I11" s="22" t="inlineStr">
        <is>
          <t>20/10/2026</t>
        </is>
      </c>
      <c r="J11" s="22" t="inlineStr">
        <is>
          <t>02/11/2026</t>
        </is>
      </c>
      <c r="K11" s="22" t="inlineStr">
        <is>
          <t>Review</t>
        </is>
      </c>
      <c r="L11" s="23" t="inlineStr">
        <is>
          <t>Mở rộng 14/10: cùng job chuyển membership quá hạn sang EXPIRED và gửi thông báo hết hạn. notification.service đã có dedupeKey.</t>
        </is>
      </c>
    </row>
    <row r="12" ht="46.5" customHeight="1" s="18">
      <c r="A12" s="22" t="inlineStr">
        <is>
          <t>S3-08</t>
        </is>
      </c>
      <c r="B12" s="22" t="inlineStr">
        <is>
          <t>UC-UM-15</t>
        </is>
      </c>
      <c r="C12" s="23" t="inlineStr">
        <is>
          <t>BE – Xem nhật ký thao tác (màn S28): Manager tra cứu các thao tác quan trọng theo người thực hiện, thời gian, đối tượng và nội dung thay đổi.</t>
        </is>
      </c>
      <c r="D12" s="24" t="inlineStr">
        <is>
          <t>BE</t>
        </is>
      </c>
      <c r="E12" s="22" t="inlineStr">
        <is>
          <t>Khải</t>
        </is>
      </c>
      <c r="F12" s="22" t="inlineStr">
        <is>
          <t>Simple</t>
        </is>
      </c>
      <c r="G12" s="23" t="inlineStr">
        <is>
          <t>Manager tra cứu người thực hiện, thời điểm, đối tượng và nội dung thay đổi; audit log chỉ đọc. BR-0.2 yêu cầu ghi tạo/sửa/xoá mềm/đổi role/khoá/thu tiền/hoàn tiền/đổi cấu hình; audit log không bao giờ xoá theo BR-0.1.</t>
        </is>
      </c>
      <c r="H12" s="22" t="inlineStr">
        <is>
          <t>sprint-3/be-khai</t>
        </is>
      </c>
      <c r="I12" s="22" t="inlineStr">
        <is>
          <t>20/10/2026</t>
        </is>
      </c>
      <c r="J12" s="22" t="inlineStr">
        <is>
          <t>02/11/2026</t>
        </is>
      </c>
      <c r="K12" s="22" t="inlineStr">
        <is>
          <t>To Do</t>
        </is>
      </c>
      <c r="L12" s="23" t="inlineStr">
        <is>
          <t>Chia lại 14/10: chuyển BE từ Bảo sang Khải (full-stack, chức năng chỉ đọc; Bảo review).</t>
        </is>
      </c>
    </row>
    <row r="13" ht="46.5" customHeight="1" s="18">
      <c r="A13" s="22" t="inlineStr">
        <is>
          <t>S3-09</t>
        </is>
      </c>
      <c r="B13" s="22" t="inlineStr">
        <is>
          <t>UC-UM-15</t>
        </is>
      </c>
      <c r="C13" s="23" t="inlineStr">
        <is>
          <t>FE – Xem nhật ký thao tác (màn S28): Manager tra cứu các thao tác quan trọng theo người thực hiện, thời gian, đối tượng và nội dung thay đổi.</t>
        </is>
      </c>
      <c r="D13" s="24" t="inlineStr">
        <is>
          <t>FE</t>
        </is>
      </c>
      <c r="E13" s="22" t="inlineStr">
        <is>
          <t>Khải</t>
        </is>
      </c>
      <c r="F13" s="22" t="inlineStr">
        <is>
          <t>Simple</t>
        </is>
      </c>
      <c r="G13" s="23" t="inlineStr">
        <is>
          <t>Manager tra cứu người thực hiện, thời điểm, đối tượng và nội dung thay đổi; audit log chỉ đọc. BR-0.2 yêu cầu ghi tạo/sửa/xoá mềm/đổi role/khoá/thu tiền/hoàn tiền/đổi cấu hình; audit log không bao giờ xoá theo BR-0.1.</t>
        </is>
      </c>
      <c r="H13" s="22" t="inlineStr">
        <is>
          <t>sprint-3/fe-khai</t>
        </is>
      </c>
      <c r="I13" s="22" t="inlineStr">
        <is>
          <t>20/10/2026</t>
        </is>
      </c>
      <c r="J13" s="22" t="inlineStr">
        <is>
          <t>02/11/2026</t>
        </is>
      </c>
      <c r="K13" s="22" t="inlineStr">
        <is>
          <t>To Do</t>
        </is>
      </c>
      <c r="L13" s="23" t="inlineStr">
        <is>
          <t>audit_logs đã được ghi ở hoá đơn, lớp, đăng ký; còn thiếu API đọc và màn xem</t>
        </is>
      </c>
    </row>
    <row r="14" ht="60" customHeight="1" s="18">
      <c r="A14" s="22" t="inlineStr">
        <is>
          <t>S3-10</t>
        </is>
      </c>
      <c r="B14" s="22" t="inlineStr">
        <is>
          <t>UC-CB-18</t>
        </is>
      </c>
      <c r="C14" s="23" t="inlineStr">
        <is>
          <t>BE – Đổi giờ một buổi (màn S26): Manager đổi thời gian của một buổi chưa diễn ra; hệ thống kiểm tra xung đột và thông báo cho hội viên đang đăng ký.</t>
        </is>
      </c>
      <c r="D14" s="24" t="inlineStr">
        <is>
          <t>BE</t>
        </is>
      </c>
      <c r="E14" s="22" t="inlineStr">
        <is>
          <t>Bảo</t>
        </is>
      </c>
      <c r="F14" s="22" t="inlineStr">
        <is>
          <t>Medium</t>
        </is>
      </c>
      <c r="G14" s="23" t="inlineStr">
        <is>
          <t>Chỉ đổi buổi chưa diễn ra; lịch mới không trùng coach/phòng theo BR-2.4/2.8. Hội viên đang đăng ký nhận thông báo; nếu phát sinh trùng với booking khác thì chỉ cảnh báo và cho tự huỷ miễn phí, không tự huỷ theo BR-2.7/2.15.</t>
        </is>
      </c>
      <c r="H14" s="22" t="inlineStr">
        <is>
          <t>sprint-3/be-bao</t>
        </is>
      </c>
      <c r="I14" s="22" t="inlineStr">
        <is>
          <t>20/10/2026</t>
        </is>
      </c>
      <c r="J14" s="22" t="inlineStr">
        <is>
          <t>02/11/2026</t>
        </is>
      </c>
      <c r="K14" s="22" t="inlineStr">
        <is>
          <t>Review</t>
        </is>
      </c>
      <c r="L14" s="23" t="n"/>
    </row>
    <row r="15" ht="60" customHeight="1" s="18">
      <c r="A15" s="22" t="inlineStr">
        <is>
          <t>S3-11</t>
        </is>
      </c>
      <c r="B15" s="22" t="inlineStr">
        <is>
          <t>UC-CB-18</t>
        </is>
      </c>
      <c r="C15" s="23" t="inlineStr">
        <is>
          <t>FE – Đổi giờ một buổi (màn S26): Manager đổi thời gian của một buổi chưa diễn ra; hệ thống kiểm tra xung đột và thông báo cho hội viên đang đăng ký.</t>
        </is>
      </c>
      <c r="D15" s="24" t="inlineStr">
        <is>
          <t>FE</t>
        </is>
      </c>
      <c r="E15" s="22" t="inlineStr">
        <is>
          <t>Khôi</t>
        </is>
      </c>
      <c r="F15" s="22" t="inlineStr">
        <is>
          <t>Medium</t>
        </is>
      </c>
      <c r="G15" s="23" t="inlineStr">
        <is>
          <t>Chỉ đổi buổi chưa diễn ra; lịch mới không trùng coach/phòng theo BR-2.4/2.8. Hội viên đang đăng ký nhận thông báo; nếu phát sinh trùng với booking khác thì chỉ cảnh báo và cho tự huỷ miễn phí, không tự huỷ theo BR-2.7/2.15.</t>
        </is>
      </c>
      <c r="H15" s="22" t="inlineStr">
        <is>
          <t>sprint-3/fe-khoi</t>
        </is>
      </c>
      <c r="I15" s="22" t="inlineStr">
        <is>
          <t>20/10/2026</t>
        </is>
      </c>
      <c r="J15" s="22" t="inlineStr">
        <is>
          <t>02/11/2026</t>
        </is>
      </c>
      <c r="K15" s="22" t="inlineStr">
        <is>
          <t>Review</t>
        </is>
      </c>
      <c r="L15" s="23" t="inlineStr">
        <is>
          <t>Rà soát UI 14/10 (a-13): bảng "Các buổi học" chưa có cột thao tác, chưa có API từng buổi; làm cùng F2-08.</t>
        </is>
      </c>
    </row>
    <row r="16" ht="46.5" customHeight="1" s="18">
      <c r="A16" s="22" t="inlineStr">
        <is>
          <t>S3-12</t>
        </is>
      </c>
      <c r="B16" s="22" t="inlineStr">
        <is>
          <t>UC-CB-18</t>
        </is>
      </c>
      <c r="C16" s="23" t="inlineStr">
        <is>
          <t>BE – Huỷ một buổi (màn S26): Manager/job huỷ một buổi chưa diễn ra, giữ lại lịch sử, ngăn điểm danh và thông báo cho hội viên bị ảnh hưởng.</t>
        </is>
      </c>
      <c r="D16" s="24" t="inlineStr">
        <is>
          <t>BE</t>
        </is>
      </c>
      <c r="E16" s="22" t="inlineStr">
        <is>
          <t>Bảo</t>
        </is>
      </c>
      <c r="F16" s="22" t="inlineStr">
        <is>
          <t>Medium</t>
        </is>
      </c>
      <c r="G16" s="23" t="inlineStr">
        <is>
          <t>Chuyển buổi sang CANCELLED nhưng giữ bản ghi lịch sử và không cho điểm danh. Gửi một thông báo cho tất cả hội viên đang đăng ký; không xoá cứng theo BR-0.1 và không gửi trùng theo BR-2.7.</t>
        </is>
      </c>
      <c r="H16" s="22" t="inlineStr">
        <is>
          <t>sprint-3/be-bao</t>
        </is>
      </c>
      <c r="I16" s="22" t="inlineStr">
        <is>
          <t>20/10/2026</t>
        </is>
      </c>
      <c r="J16" s="22" t="inlineStr">
        <is>
          <t>02/11/2026</t>
        </is>
      </c>
      <c r="K16" s="22" t="inlineStr">
        <is>
          <t>Review</t>
        </is>
      </c>
      <c r="L16" s="23" t="n"/>
    </row>
    <row r="17" ht="46.5" customHeight="1" s="18">
      <c r="A17" s="22" t="inlineStr">
        <is>
          <t>S3-13</t>
        </is>
      </c>
      <c r="B17" s="22" t="inlineStr">
        <is>
          <t>UC-CB-18</t>
        </is>
      </c>
      <c r="C17" s="23" t="inlineStr">
        <is>
          <t>FE – Huỷ một buổi (màn S26): Manager/job huỷ một buổi chưa diễn ra, giữ lại lịch sử, ngăn điểm danh và thông báo cho hội viên bị ảnh hưởng.</t>
        </is>
      </c>
      <c r="D17" s="24" t="inlineStr">
        <is>
          <t>FE</t>
        </is>
      </c>
      <c r="E17" s="22" t="inlineStr">
        <is>
          <t>Khôi</t>
        </is>
      </c>
      <c r="F17" s="22" t="inlineStr">
        <is>
          <t>Medium</t>
        </is>
      </c>
      <c r="G17" s="23" t="inlineStr">
        <is>
          <t>Chuyển buổi sang CANCELLED nhưng giữ bản ghi lịch sử và không cho điểm danh. Gửi một thông báo cho tất cả hội viên đang đăng ký; không xoá cứng theo BR-0.1 và không gửi trùng theo BR-2.7.</t>
        </is>
      </c>
      <c r="H17" s="22" t="inlineStr">
        <is>
          <t>sprint-3/fe-khoi</t>
        </is>
      </c>
      <c r="I17" s="22" t="inlineStr">
        <is>
          <t>20/10/2026</t>
        </is>
      </c>
      <c r="J17" s="22" t="inlineStr">
        <is>
          <t>02/11/2026</t>
        </is>
      </c>
      <c r="K17" s="22" t="inlineStr">
        <is>
          <t>Review</t>
        </is>
      </c>
      <c r="L17" s="23" t="inlineStr">
        <is>
          <t>Rà soát UI 14/10 (a-13): thêm nút "Huỷ buổi" kèm lý do và cảnh báo "sẽ thông báo N hội viên".</t>
        </is>
      </c>
    </row>
    <row r="18" ht="46.5" customHeight="1" s="18">
      <c r="A18" s="22" t="inlineStr">
        <is>
          <t>S3-14</t>
        </is>
      </c>
      <c r="B18" s="22" t="inlineStr">
        <is>
          <t>UC-PAY-01</t>
        </is>
      </c>
      <c r="C18" s="23" t="inlineStr">
        <is>
          <t>BE – Màn QR và theo dõi trạng thái (màn 15): Member xem QR, nội dung chuyển khoản, trạng thái và đồng hồ hết hạn của hoá đơn online.</t>
        </is>
      </c>
      <c r="D18" s="24" t="inlineStr">
        <is>
          <t>BE</t>
        </is>
      </c>
      <c r="E18" s="22" t="inlineStr">
        <is>
          <t>Nhanh</t>
        </is>
      </c>
      <c r="F18" s="22" t="inlineStr">
        <is>
          <t>Medium</t>
        </is>
      </c>
      <c r="G18" s="23" t="inlineStr">
        <is>
          <t>Nội dung chuyển khoản phải chứa mã invoice theo BR-3.3; trạng thái theo BR-3.1 và timeout lấy từ cấu hình. Chỉ chủ invoice được xem/huỷ khi còn PENDING; hết hạn thì chờ job chuyển FAILED.</t>
        </is>
      </c>
      <c r="H18" s="22" t="inlineStr">
        <is>
          <t>feature/f3-sepay-online-payment</t>
        </is>
      </c>
      <c r="I18" s="22" t="inlineStr">
        <is>
          <t>20/10/2026</t>
        </is>
      </c>
      <c r="J18" s="22" t="inlineStr">
        <is>
          <t>02/11/2026</t>
        </is>
      </c>
      <c r="K18" s="22" t="inlineStr">
        <is>
          <t>Review</t>
        </is>
      </c>
      <c r="L18" s="23" t="inlineStr">
        <is>
          <t>Nhanh đã làm ở sprint bổ sung. Đã xong 14/10/2026, nằm trong PR #3 chờ review</t>
        </is>
      </c>
    </row>
    <row r="19" ht="46.5" customHeight="1" s="18">
      <c r="A19" s="22" t="inlineStr">
        <is>
          <t>S3-15</t>
        </is>
      </c>
      <c r="B19" s="22" t="inlineStr">
        <is>
          <t>UC-PAY-01</t>
        </is>
      </c>
      <c r="C19" s="23" t="inlineStr">
        <is>
          <t>FE – Màn QR và theo dõi trạng thái (màn 15): Member xem QR, nội dung chuyển khoản, trạng thái và đồng hồ hết hạn của hoá đơn online.</t>
        </is>
      </c>
      <c r="D19" s="24" t="inlineStr">
        <is>
          <t>FE</t>
        </is>
      </c>
      <c r="E19" s="22" t="inlineStr">
        <is>
          <t>Nhanh</t>
        </is>
      </c>
      <c r="F19" s="22" t="inlineStr">
        <is>
          <t>Medium</t>
        </is>
      </c>
      <c r="G19" s="23" t="inlineStr">
        <is>
          <t>Nội dung chuyển khoản phải chứa mã invoice theo BR-3.3; trạng thái theo BR-3.1 và timeout lấy từ cấu hình. Chỉ chủ invoice được xem/huỷ khi còn PENDING; hết hạn thì chờ job chuyển FAILED.</t>
        </is>
      </c>
      <c r="H19" s="22" t="inlineStr">
        <is>
          <t>feature/f3-sepay-online-payment</t>
        </is>
      </c>
      <c r="I19" s="22" t="inlineStr">
        <is>
          <t>20/10/2026</t>
        </is>
      </c>
      <c r="J19" s="22" t="inlineStr">
        <is>
          <t>02/11/2026</t>
        </is>
      </c>
      <c r="K19" s="22" t="inlineStr">
        <is>
          <t>Review</t>
        </is>
      </c>
      <c r="L19" s="23" t="inlineStr">
        <is>
          <t>Kế hoạch: FE Khải. Nhanh đã làm trước ở sprint bổ sung. Đã xong 14/10/2026, nằm trong PR #3 chờ review</t>
        </is>
      </c>
    </row>
    <row r="20" ht="73.5" customHeight="1" s="18">
      <c r="A20" s="22" t="inlineStr">
        <is>
          <t>S3-16</t>
        </is>
      </c>
      <c r="B20" s="22" t="inlineStr">
        <is>
          <t>UC-PAY-02</t>
        </is>
      </c>
      <c r="C20" s="23" t="inlineStr">
        <is>
          <t>BE – Xử lý webhook SePay: backend nhận giao dịch, xác thực chữ ký/API key, bóc mã hoá đơn, kiểm tra số tiền và cập nhật payment/invoice một cách idempotent.</t>
        </is>
      </c>
      <c r="D20" s="24" t="inlineStr">
        <is>
          <t>BE</t>
        </is>
      </c>
      <c r="E20" s="22" t="inlineStr">
        <is>
          <t>Nhanh</t>
        </is>
      </c>
      <c r="F20" s="22" t="inlineStr">
        <is>
          <t>Medium</t>
        </is>
      </c>
      <c r="G20" s="23" t="inlineStr">
        <is>
          <t>Phải xác thực Authorization bằng SEPAY_WEBHOOK_API_KEY; bóc mã từ code, nếu rỗng thì dùng regex trên content. Chỉ transferType=in và số tiền khớp tuyệt đối mới PAID/kích hoạt; giao dịch trùng idempotent, lệch tiền hoặc invoice không hợp lệ vào hàng chờ; log raw đã che secret và chỉ trả 200 sau commit theo BR-PAY-02 đến BR-PAY-10.</t>
        </is>
      </c>
      <c r="H20" s="22" t="inlineStr">
        <is>
          <t>feature/f3-sepay-online-payment</t>
        </is>
      </c>
      <c r="I20" s="22" t="inlineStr">
        <is>
          <t>20/10/2026</t>
        </is>
      </c>
      <c r="J20" s="22" t="inlineStr">
        <is>
          <t>02/11/2026</t>
        </is>
      </c>
      <c r="K20" s="22" t="inlineStr">
        <is>
          <t>Review</t>
        </is>
      </c>
      <c r="L20" s="23" t="inlineStr">
        <is>
          <t>Nhanh đã làm ở sprint bổ sung. Đã xong 14/10/2026, nằm trong PR #3 chờ review</t>
        </is>
      </c>
    </row>
    <row r="21" ht="46.5" customHeight="1" s="18">
      <c r="A21" s="22" t="inlineStr">
        <is>
          <t>S3-17</t>
        </is>
      </c>
      <c r="B21" s="22" t="inlineStr">
        <is>
          <t>UC-PAY-04</t>
        </is>
      </c>
      <c r="C21" s="23" t="inlineStr">
        <is>
          <t>BE – Job hết hạn hoá đơn: job định kỳ tìm hoá đơn online PENDING quá thời gian chờ và chuyển sang FAILED nếu trạng thái vẫn còn PENDING.</t>
        </is>
      </c>
      <c r="D21" s="24" t="inlineStr">
        <is>
          <t>BE</t>
        </is>
      </c>
      <c r="E21" s="22" t="inlineStr">
        <is>
          <t>Nhanh</t>
        </is>
      </c>
      <c r="F21" s="22" t="inlineStr">
        <is>
          <t>Medium</t>
        </is>
      </c>
      <c r="G21" s="23" t="inlineStr">
        <is>
          <t>Chỉ chuyển invoice PENDING quá timeout cấu hình, mặc định 15 phút, sang FAILED. Webhook đến sau hoặc chuyển lặp không bị nuốt mà vào hàng chờ với lý do LATE/ALREADY_PROCESSED theo BR-3.4/BR-PAY-08.</t>
        </is>
      </c>
      <c r="H21" s="22" t="inlineStr">
        <is>
          <t>sprint-3/be-nhanh</t>
        </is>
      </c>
      <c r="I21" s="22" t="inlineStr">
        <is>
          <t>20/10/2026</t>
        </is>
      </c>
      <c r="J21" s="22" t="inlineStr">
        <is>
          <t>02/11/2026</t>
        </is>
      </c>
      <c r="K21" s="22" t="inlineStr">
        <is>
          <t>Review</t>
        </is>
      </c>
      <c r="L21" s="23" t="inlineStr">
        <is>
          <t>BE xong 14/10/2026 trên sprint-3/be-nhanh, 143 test BE pass; chờ review/merge</t>
        </is>
      </c>
    </row>
    <row r="22" ht="87" customHeight="1" s="18">
      <c r="A22" s="22" t="inlineStr">
        <is>
          <t>S3-18</t>
        </is>
      </c>
      <c r="B22" s="22" t="inlineStr">
        <is>
          <t>UC-PAY-05</t>
        </is>
      </c>
      <c r="C22" s="23" t="inlineStr">
        <is>
          <t>BE – Xác nhận thanh toán thủ công (màn S29): Manager nhập mã tham chiếu và số tiền thực nhận để xác nhận khoản tiền ngoài webhook rồi cập nhật payment. Màn này là "Hàng chờ đối soát" chung cho mọi giao dịch SePay không tự khớp (xem #88–#94).</t>
        </is>
      </c>
      <c r="D22" s="24" t="inlineStr">
        <is>
          <t>BE</t>
        </is>
      </c>
      <c r="E22" s="22" t="inlineStr">
        <is>
          <t>Nhanh</t>
        </is>
      </c>
      <c r="F22" s="22" t="inlineStr">
        <is>
          <t>Medium</t>
        </is>
      </c>
      <c r="G22" s="23" t="inlineStr">
        <is>
          <t>Manager nhập mã tham chiếu và số tiền thực nhận; invoice phải ở trạng thái phù hợp và thao tác phải idempotent. Chỉ PAID mới kích hoạt/gia hạn; ghi lý do, người duyệt và audit; trạng thái đã đổi trả 409 theo BR-3.2/BR-PAY-07/13.</t>
        </is>
      </c>
      <c r="H22" s="22" t="inlineStr">
        <is>
          <t>sprint-3/be-nhanh</t>
        </is>
      </c>
      <c r="I22" s="22" t="inlineStr">
        <is>
          <t>20/10/2026</t>
        </is>
      </c>
      <c r="J22" s="22" t="inlineStr">
        <is>
          <t>02/11/2026</t>
        </is>
      </c>
      <c r="K22" s="22" t="inlineStr">
        <is>
          <t>Review</t>
        </is>
      </c>
      <c r="L22" s="23" t="inlineStr">
        <is>
          <t>BE xong 14/10/2026 trên sprint-3/be-nhanh, 143 test BE pass; chờ review/merge</t>
        </is>
      </c>
    </row>
    <row r="23" ht="87" customHeight="1" s="18">
      <c r="A23" s="22" t="inlineStr">
        <is>
          <t>S3-19</t>
        </is>
      </c>
      <c r="B23" s="22" t="inlineStr">
        <is>
          <t>UC-PAY-05</t>
        </is>
      </c>
      <c r="C23" s="23" t="inlineStr">
        <is>
          <t>FE – Xác nhận thanh toán thủ công (màn S29): Manager nhập mã tham chiếu và số tiền thực nhận để xác nhận khoản tiền ngoài webhook rồi cập nhật payment. Màn này là "Hàng chờ đối soát" chung cho mọi giao dịch SePay không tự khớp (xem #88–#94).</t>
        </is>
      </c>
      <c r="D23" s="24" t="inlineStr">
        <is>
          <t>FE</t>
        </is>
      </c>
      <c r="E23" s="22" t="inlineStr">
        <is>
          <t>Khải</t>
        </is>
      </c>
      <c r="F23" s="22" t="inlineStr">
        <is>
          <t>Medium</t>
        </is>
      </c>
      <c r="G23" s="23" t="inlineStr">
        <is>
          <t>Manager nhập mã tham chiếu và số tiền thực nhận; invoice phải ở trạng thái phù hợp và thao tác phải idempotent. Chỉ PAID mới kích hoạt/gia hạn; ghi lý do, người duyệt và audit; trạng thái đã đổi trả 409 theo BR-3.2/BR-PAY-07/13.</t>
        </is>
      </c>
      <c r="H23" s="22" t="inlineStr">
        <is>
          <t>sprint-3/fe-khai</t>
        </is>
      </c>
      <c r="I23" s="22" t="inlineStr">
        <is>
          <t>20/10/2026</t>
        </is>
      </c>
      <c r="J23" s="22" t="inlineStr">
        <is>
          <t>02/11/2026</t>
        </is>
      </c>
      <c r="K23" s="22" t="inlineStr">
        <is>
          <t>To Do</t>
        </is>
      </c>
      <c r="L23" s="23" t="inlineStr">
        <is>
          <t>Mở rộng 14/10: đây là màn "Hàng chờ đối soát" chung; các màn #88, #90–92 mở từ đây.</t>
        </is>
      </c>
    </row>
    <row r="24" ht="60" customHeight="1" s="18">
      <c r="A24" s="22" t="inlineStr">
        <is>
          <t>S3-20</t>
        </is>
      </c>
      <c r="B24" s="22" t="inlineStr">
        <is>
          <t>UC-PAY-08</t>
        </is>
      </c>
      <c r="C24" s="23" t="inlineStr">
        <is>
          <t>BE – Lịch sử giao dịch (màn 18): hội viên hoặc nhân viên xem danh sách invoice/payment trong phạm vi quyền, trạng thái và khả năng tiếp tục thanh toán.</t>
        </is>
      </c>
      <c r="D24" s="24" t="inlineStr">
        <is>
          <t>BE</t>
        </is>
      </c>
      <c r="E24" s="22" t="inlineStr">
        <is>
          <t>Nhanh</t>
        </is>
      </c>
      <c r="F24" s="22" t="inlineStr">
        <is>
          <t>Simple</t>
        </is>
      </c>
      <c r="G24" s="23" t="inlineStr">
        <is>
          <t>Member chỉ thấy giao dịch của mình; nhân viên chỉ thấy phạm vi được cấp. Invoice PENDING còn hạn có nút tiếp tục thanh toán; không xoá lịch sử trạng thái và payment, kể cả FAILED/REFUNDED.</t>
        </is>
      </c>
      <c r="H24" s="22" t="inlineStr">
        <is>
          <t>sprint-3/be-nhanh</t>
        </is>
      </c>
      <c r="I24" s="22" t="inlineStr">
        <is>
          <t>20/10/2026</t>
        </is>
      </c>
      <c r="J24" s="22" t="inlineStr">
        <is>
          <t>02/11/2026</t>
        </is>
      </c>
      <c r="K24" s="22" t="inlineStr">
        <is>
          <t>Review</t>
        </is>
      </c>
      <c r="L24" s="23" t="inlineStr">
        <is>
          <t>BE xong 14/10/2026 trên sprint-3/be-nhanh, 143 test BE pass; chờ review/merge</t>
        </is>
      </c>
    </row>
    <row r="25" ht="60" customHeight="1" s="18">
      <c r="A25" s="22" t="inlineStr">
        <is>
          <t>S3-21</t>
        </is>
      </c>
      <c r="B25" s="22" t="inlineStr">
        <is>
          <t>UC-PAY-08</t>
        </is>
      </c>
      <c r="C25" s="23" t="inlineStr">
        <is>
          <t>FE – Lịch sử giao dịch (màn 18): hội viên hoặc nhân viên xem danh sách invoice/payment trong phạm vi quyền, trạng thái và khả năng tiếp tục thanh toán.</t>
        </is>
      </c>
      <c r="D25" s="24" t="inlineStr">
        <is>
          <t>FE</t>
        </is>
      </c>
      <c r="E25" s="22" t="inlineStr">
        <is>
          <t>Khải</t>
        </is>
      </c>
      <c r="F25" s="22" t="inlineStr">
        <is>
          <t>Simple</t>
        </is>
      </c>
      <c r="G25" s="23" t="inlineStr">
        <is>
          <t>Member chỉ thấy giao dịch của mình; nhân viên chỉ thấy phạm vi được cấp. Invoice PENDING còn hạn có nút tiếp tục thanh toán; không xoá lịch sử trạng thái và payment, kể cả FAILED/REFUNDED.</t>
        </is>
      </c>
      <c r="H25" s="22" t="inlineStr">
        <is>
          <t>sprint-3/fe-khai</t>
        </is>
      </c>
      <c r="I25" s="22" t="inlineStr">
        <is>
          <t>20/10/2026</t>
        </is>
      </c>
      <c r="J25" s="22" t="inlineStr">
        <is>
          <t>02/11/2026</t>
        </is>
      </c>
      <c r="K25" s="22" t="inlineStr">
        <is>
          <t>To Do</t>
        </is>
      </c>
      <c r="L25" s="23" t="inlineStr">
        <is>
          <t>Đã có danh sách hoá đơn lọc theo kênh, chi tiết và biên lai; chưa có bảng thanh toán (payments)</t>
        </is>
      </c>
    </row>
    <row r="26" ht="60" customHeight="1" s="18">
      <c r="A26" s="22" t="inlineStr">
        <is>
          <t>S3-22</t>
        </is>
      </c>
      <c r="B26" s="22" t="inlineStr">
        <is>
          <t>UC-PAY-09</t>
        </is>
      </c>
      <c r="C26" s="23" t="inlineStr">
        <is>
          <t>BE – Hoàn tiền (màn S30): Manager chọn giao dịch đủ điều kiện, nhập lý do và mã tham chiếu rồi chuyển trạng thái hoàn tiền và cập nhật membership liên quan.</t>
        </is>
      </c>
      <c r="D26" s="24" t="inlineStr">
        <is>
          <t>BE</t>
        </is>
      </c>
      <c r="E26" s="22" t="inlineStr">
        <is>
          <t>Nhanh</t>
        </is>
      </c>
      <c r="F26" s="22" t="inlineStr">
        <is>
          <t>Medium</t>
        </is>
      </c>
      <c r="G26" s="23" t="inlineStr">
        <is>
          <t>Chỉ Manager được hoàn tiền cho invoice PAID, phải nhập lý do và mã tham chiếu. Chuyển PAID -&gt; REFUNDED, số hoàn không vượt số đã nhận; tiền được trả thủ công ngoài hệ thống, membership liên quan được cập nhật và mọi thay đổi ghi audit theo BR-PAY-13/BR-0.2.</t>
        </is>
      </c>
      <c r="H26" s="22" t="inlineStr">
        <is>
          <t>sprint-3/be-nhanh</t>
        </is>
      </c>
      <c r="I26" s="22" t="inlineStr">
        <is>
          <t>20/10/2026</t>
        </is>
      </c>
      <c r="J26" s="22" t="inlineStr">
        <is>
          <t>02/11/2026</t>
        </is>
      </c>
      <c r="K26" s="22" t="inlineStr">
        <is>
          <t>Review</t>
        </is>
      </c>
      <c r="L26" s="23" t="inlineStr">
        <is>
          <t>BE xong 14/10/2026 trên sprint-3/be-nhanh, 143 test BE pass; chờ review/merge</t>
        </is>
      </c>
    </row>
    <row r="27" ht="73.5" customHeight="1" s="18">
      <c r="A27" s="22" t="inlineStr">
        <is>
          <t>S3-23</t>
        </is>
      </c>
      <c r="B27" s="22" t="inlineStr">
        <is>
          <t>UC-PAY-09</t>
        </is>
      </c>
      <c r="C27" s="23" t="inlineStr">
        <is>
          <t>FE – Hoàn tiền (màn S30): Manager chọn giao dịch đủ điều kiện, nhập lý do và mã tham chiếu rồi chuyển trạng thái hoàn tiền và cập nhật membership liên quan.</t>
        </is>
      </c>
      <c r="D27" s="24" t="inlineStr">
        <is>
          <t>FE</t>
        </is>
      </c>
      <c r="E27" s="22" t="inlineStr">
        <is>
          <t>Khôi</t>
        </is>
      </c>
      <c r="F27" s="22" t="inlineStr">
        <is>
          <t>Medium</t>
        </is>
      </c>
      <c r="G27" s="23" t="inlineStr">
        <is>
          <t>Chỉ Manager được hoàn tiền cho invoice PAID, phải nhập lý do và mã tham chiếu. Chuyển PAID -&gt; REFUNDED, số hoàn không vượt số đã nhận; tiền được trả thủ công ngoài hệ thống, membership liên quan được cập nhật và mọi thay đổi ghi audit theo BR-PAY-13/BR-0.2.</t>
        </is>
      </c>
      <c r="H27" s="22" t="inlineStr">
        <is>
          <t>sprint-3/fe-khoi</t>
        </is>
      </c>
      <c r="I27" s="22" t="inlineStr">
        <is>
          <t>20/10/2026</t>
        </is>
      </c>
      <c r="J27" s="22" t="inlineStr">
        <is>
          <t>02/11/2026</t>
        </is>
      </c>
      <c r="K27" s="22" t="inlineStr">
        <is>
          <t>Review</t>
        </is>
      </c>
      <c r="L27" s="23" t="inlineStr">
        <is>
          <t>Chia lại 14/10: FE chuyển từ Khải sang Khôi để Khải nhận màn đối soát. Cần nhóm chốt: hoàn toàn bộ thì trừ lại số ngày đã cộng vào membership.</t>
        </is>
      </c>
    </row>
    <row r="28" ht="60" customHeight="1" s="18">
      <c r="A28" s="22" t="inlineStr">
        <is>
          <t>S3-24</t>
        </is>
      </c>
      <c r="B28" s="22" t="inlineStr">
        <is>
          <t>UC-RPT-01</t>
        </is>
      </c>
      <c r="C28" s="23" t="inlineStr">
        <is>
          <t>BE – Dashboard báo cáo (màn 17): Manager xem doanh thu, payment, membership và lớp theo bộ lọc; hệ thống tổng hợp dữ liệu đã thanh toán và hoàn tiền.</t>
        </is>
      </c>
      <c r="D28" s="24" t="inlineStr">
        <is>
          <t>BE</t>
        </is>
      </c>
      <c r="E28" s="22" t="inlineStr">
        <is>
          <t>Bảo</t>
        </is>
      </c>
      <c r="F28" s="22" t="inlineStr">
        <is>
          <t>Medium</t>
        </is>
      </c>
      <c r="G28" s="23" t="inlineStr">
        <is>
          <t>Chỉ permission report.view; doanh thu tính theo thời điểm PAID, trừ REFUNDED, không tính PENDING/FAILED và dùng ngày lịch Việt Nam theo BR-3.5/BR-0.3. Bộ lọc phải nhất quán giữa các chỉ số và không lộ dữ liệu ngoài quyền.</t>
        </is>
      </c>
      <c r="H28" s="22" t="inlineStr">
        <is>
          <t>sprint-3/be-bao</t>
        </is>
      </c>
      <c r="I28" s="22" t="inlineStr">
        <is>
          <t>20/10/2026</t>
        </is>
      </c>
      <c r="J28" s="22" t="inlineStr">
        <is>
          <t>02/11/2026</t>
        </is>
      </c>
      <c r="K28" s="22" t="inlineStr">
        <is>
          <t>Review</t>
        </is>
      </c>
      <c r="L28" s="23" t="inlineStr">
        <is>
          <t>Chưa có GET /reports/*</t>
        </is>
      </c>
    </row>
    <row r="29" ht="60" customHeight="1" s="18">
      <c r="A29" s="22" t="inlineStr">
        <is>
          <t>S3-25</t>
        </is>
      </c>
      <c r="B29" s="22" t="inlineStr">
        <is>
          <t>UC-RPT-01</t>
        </is>
      </c>
      <c r="C29" s="23" t="inlineStr">
        <is>
          <t>FE – Dashboard báo cáo (màn 17): Manager xem doanh thu, payment, membership và lớp theo bộ lọc; hệ thống tổng hợp dữ liệu đã thanh toán và hoàn tiền.</t>
        </is>
      </c>
      <c r="D29" s="24" t="inlineStr">
        <is>
          <t>FE</t>
        </is>
      </c>
      <c r="E29" s="22" t="inlineStr">
        <is>
          <t>Khôi</t>
        </is>
      </c>
      <c r="F29" s="22" t="inlineStr">
        <is>
          <t>Medium</t>
        </is>
      </c>
      <c r="G29" s="23" t="inlineStr">
        <is>
          <t>Chỉ permission report.view; doanh thu tính theo thời điểm PAID, trừ REFUNDED, không tính PENDING/FAILED và dùng ngày lịch Việt Nam theo BR-3.5/BR-0.3. Bộ lọc phải nhất quán giữa các chỉ số và không lộ dữ liệu ngoài quyền.</t>
        </is>
      </c>
      <c r="H29" s="22" t="inlineStr">
        <is>
          <t>sprint-3/fe-khoi</t>
        </is>
      </c>
      <c r="I29" s="22" t="inlineStr">
        <is>
          <t>20/10/2026</t>
        </is>
      </c>
      <c r="J29" s="22" t="inlineStr">
        <is>
          <t>02/11/2026</t>
        </is>
      </c>
      <c r="K29" s="22" t="inlineStr">
        <is>
          <t>Review</t>
        </is>
      </c>
      <c r="L29" s="23" t="inlineStr">
        <is>
          <t>Chưa có GET /reports/*</t>
        </is>
      </c>
    </row>
    <row r="30" ht="46.5" customHeight="1" s="18">
      <c r="A30" s="22" t="inlineStr">
        <is>
          <t>S3-26</t>
        </is>
      </c>
      <c r="B30" s="22" t="inlineStr">
        <is>
          <t>UC-RPT-01</t>
        </is>
      </c>
      <c r="C30" s="23" t="inlineStr">
        <is>
          <t>BE – Xuất tệp báo cáo (màn 17): Manager xuất PDF/CSV/Excel theo đúng bộ lọc đang xem, dùng cùng tập dữ liệu và công thức với dashboard.</t>
        </is>
      </c>
      <c r="D30" s="24" t="inlineStr">
        <is>
          <t>BE</t>
        </is>
      </c>
      <c r="E30" s="22" t="inlineStr">
        <is>
          <t>Bảo</t>
        </is>
      </c>
      <c r="F30" s="22" t="inlineStr">
        <is>
          <t>Medium</t>
        </is>
      </c>
      <c r="G30" s="23" t="inlineStr">
        <is>
          <t>Chỉ permission report.view; tệp xuất phải dùng đúng tập dữ liệu, bộ lọc và công thức đang hiển thị trên dashboard. Không cho client tự sửa số tiền; việc xuất có thể được ghi audit theo chính sách.</t>
        </is>
      </c>
      <c r="H30" s="22" t="inlineStr">
        <is>
          <t>sprint-3/be-bao</t>
        </is>
      </c>
      <c r="I30" s="22" t="inlineStr">
        <is>
          <t>20/10/2026</t>
        </is>
      </c>
      <c r="J30" s="22" t="inlineStr">
        <is>
          <t>02/11/2026</t>
        </is>
      </c>
      <c r="K30" s="22" t="inlineStr">
        <is>
          <t>Review</t>
        </is>
      </c>
      <c r="L30" s="23" t="n"/>
    </row>
    <row r="31" ht="46.5" customHeight="1" s="18">
      <c r="A31" s="22" t="inlineStr">
        <is>
          <t>S3-27</t>
        </is>
      </c>
      <c r="B31" s="22" t="inlineStr">
        <is>
          <t>UC-RPT-01</t>
        </is>
      </c>
      <c r="C31" s="23" t="inlineStr">
        <is>
          <t>FE – Xuất tệp báo cáo (màn 17): Manager xuất PDF/CSV/Excel theo đúng bộ lọc đang xem, dùng cùng tập dữ liệu và công thức với dashboard.</t>
        </is>
      </c>
      <c r="D31" s="24" t="inlineStr">
        <is>
          <t>FE</t>
        </is>
      </c>
      <c r="E31" s="22" t="inlineStr">
        <is>
          <t>Khôi</t>
        </is>
      </c>
      <c r="F31" s="22" t="inlineStr">
        <is>
          <t>Medium</t>
        </is>
      </c>
      <c r="G31" s="23" t="inlineStr">
        <is>
          <t>Chỉ permission report.view; tệp xuất phải dùng đúng tập dữ liệu, bộ lọc và công thức đang hiển thị trên dashboard. Không cho client tự sửa số tiền; việc xuất có thể được ghi audit theo chính sách.</t>
        </is>
      </c>
      <c r="H31" s="22" t="inlineStr">
        <is>
          <t>sprint-3/fe-khoi</t>
        </is>
      </c>
      <c r="I31" s="22" t="inlineStr">
        <is>
          <t>20/10/2026</t>
        </is>
      </c>
      <c r="J31" s="22" t="inlineStr">
        <is>
          <t>02/11/2026</t>
        </is>
      </c>
      <c r="K31" s="22" t="inlineStr">
        <is>
          <t>Review</t>
        </is>
      </c>
      <c r="L31" s="23" t="n"/>
    </row>
    <row r="32" ht="60" customHeight="1" s="18">
      <c r="A32" s="22" t="inlineStr">
        <is>
          <t>S3-28</t>
        </is>
      </c>
      <c r="B32" s="22" t="inlineStr">
        <is>
          <t>UC-UM-01</t>
        </is>
      </c>
      <c r="C32" s="23" t="inlineStr">
        <is>
          <t>BE – Bắt xác minh email trước khi vào hệ thống (màn 1, S19): đăng nhập đúng mật khẩu nhưng email chưa xác minh bị chặn; hội viên gửi lại và xác nhận link xác minh.</t>
        </is>
      </c>
      <c r="D32" s="24" t="inlineStr">
        <is>
          <t>BE</t>
        </is>
      </c>
      <c r="E32" s="22" t="inlineStr">
        <is>
          <t>Nhanh</t>
        </is>
      </c>
      <c r="F32" s="22" t="inlineStr">
        <is>
          <t>Medium</t>
        </is>
      </c>
      <c r="G32" s="23" t="inlineStr">
        <is>
          <t>Trả 403 EMAIL_NOT_VERIFIED sau khi kiểm tra mật khẩu. Token băm, dùng một lần, hạn theo EMAIL_VERIFICATION_TTL_MINUTES; gửi lại có giới hạn tần suất. Tài khoản chỉ có SĐT hoặc do nhân viên tạo coi là đã xác minh.</t>
        </is>
      </c>
      <c r="H32" s="22" t="inlineStr">
        <is>
          <t>feature/f3-sepay-online-payment</t>
        </is>
      </c>
      <c r="I32" s="22" t="inlineStr">
        <is>
          <t>13/10/2026</t>
        </is>
      </c>
      <c r="J32" s="22" t="inlineStr">
        <is>
          <t>14/10/2026</t>
        </is>
      </c>
      <c r="K32" s="22" t="inlineStr">
        <is>
          <t>Review</t>
        </is>
      </c>
      <c r="L32" s="23" t="inlineStr">
        <is>
          <t>Bổ sung ngoài kế hoạch gốc. Đã xong 14/10/2026, nằm trong PR #3 chờ review</t>
        </is>
      </c>
    </row>
    <row r="33" ht="60" customHeight="1" s="18">
      <c r="A33" s="22" t="inlineStr">
        <is>
          <t>S3-29</t>
        </is>
      </c>
      <c r="B33" s="22" t="inlineStr">
        <is>
          <t>UC-UM-01</t>
        </is>
      </c>
      <c r="C33" s="23" t="inlineStr">
        <is>
          <t>FE – Bắt xác minh email trước khi vào hệ thống (màn 1, S19): đăng nhập đúng mật khẩu nhưng email chưa xác minh bị chặn; hội viên gửi lại và xác nhận link xác minh.</t>
        </is>
      </c>
      <c r="D33" s="24" t="inlineStr">
        <is>
          <t>FE</t>
        </is>
      </c>
      <c r="E33" s="22" t="inlineStr">
        <is>
          <t>Nhanh</t>
        </is>
      </c>
      <c r="F33" s="22" t="inlineStr">
        <is>
          <t>Medium</t>
        </is>
      </c>
      <c r="G33" s="23" t="inlineStr">
        <is>
          <t>Trả 403 EMAIL_NOT_VERIFIED sau khi kiểm tra mật khẩu. Token băm, dùng một lần, hạn theo EMAIL_VERIFICATION_TTL_MINUTES; gửi lại có giới hạn tần suất. Tài khoản chỉ có SĐT hoặc do nhân viên tạo coi là đã xác minh.</t>
        </is>
      </c>
      <c r="H33" s="22" t="inlineStr">
        <is>
          <t>feature/f3-sepay-online-payment</t>
        </is>
      </c>
      <c r="I33" s="22" t="inlineStr">
        <is>
          <t>13/10/2026</t>
        </is>
      </c>
      <c r="J33" s="22" t="inlineStr">
        <is>
          <t>14/10/2026</t>
        </is>
      </c>
      <c r="K33" s="22" t="inlineStr">
        <is>
          <t>Review</t>
        </is>
      </c>
      <c r="L33" s="23" t="inlineStr">
        <is>
          <t>Bổ sung ngoài kế hoạch gốc. Đã xong 14/10/2026, nằm trong PR #3 chờ review</t>
        </is>
      </c>
    </row>
    <row r="34" ht="46.5" customHeight="1" s="18">
      <c r="A34" s="22" t="inlineStr">
        <is>
          <t>S3-30</t>
        </is>
      </c>
      <c r="B34" s="22" t="inlineStr">
        <is>
          <t>UC-UM-02</t>
        </is>
      </c>
      <c r="C34" s="23" t="inlineStr">
        <is>
          <t>BE – Đổi email có xác nhận (màn S20): email mới chỉ có hiệu lực sau khi bấm link gửi tới địa chỉ mới.</t>
        </is>
      </c>
      <c r="D34" s="24" t="inlineStr">
        <is>
          <t>BE</t>
        </is>
      </c>
      <c r="E34" s="22" t="inlineStr">
        <is>
          <t>Nhanh</t>
        </is>
      </c>
      <c r="F34" s="22" t="inlineStr">
        <is>
          <t>Medium</t>
        </is>
      </c>
      <c r="G34" s="23" t="inlineStr">
        <is>
          <t>BR-1.1: email duy nhất. Email cũ vẫn dùng đến khi xác nhận (pendingEmail); token băm, dùng một lần.</t>
        </is>
      </c>
      <c r="H34" s="22" t="inlineStr">
        <is>
          <t>feature/f3-sepay-online-payment</t>
        </is>
      </c>
      <c r="I34" s="22" t="inlineStr">
        <is>
          <t>13/10/2026</t>
        </is>
      </c>
      <c r="J34" s="22" t="inlineStr">
        <is>
          <t>14/10/2026</t>
        </is>
      </c>
      <c r="K34" s="22" t="inlineStr">
        <is>
          <t>Review</t>
        </is>
      </c>
      <c r="L34" s="23" t="inlineStr">
        <is>
          <t>Bổ sung ngoài kế hoạch gốc. Đã xong 14/10/2026, nằm trong PR #3 chờ review</t>
        </is>
      </c>
    </row>
    <row r="35" ht="46.5" customHeight="1" s="18">
      <c r="A35" s="22" t="inlineStr">
        <is>
          <t>S3-31</t>
        </is>
      </c>
      <c r="B35" s="22" t="inlineStr">
        <is>
          <t>UC-UM-02</t>
        </is>
      </c>
      <c r="C35" s="23" t="inlineStr">
        <is>
          <t>FE – Đổi email có xác nhận (màn S20): email mới chỉ có hiệu lực sau khi bấm link gửi tới địa chỉ mới.</t>
        </is>
      </c>
      <c r="D35" s="24" t="inlineStr">
        <is>
          <t>FE</t>
        </is>
      </c>
      <c r="E35" s="22" t="inlineStr">
        <is>
          <t>Nhanh</t>
        </is>
      </c>
      <c r="F35" s="22" t="inlineStr">
        <is>
          <t>Medium</t>
        </is>
      </c>
      <c r="G35" s="23" t="inlineStr">
        <is>
          <t>BR-1.1: email duy nhất. Email cũ vẫn dùng đến khi xác nhận (pendingEmail); token băm, dùng một lần.</t>
        </is>
      </c>
      <c r="H35" s="22" t="inlineStr">
        <is>
          <t>feature/f3-sepay-online-payment</t>
        </is>
      </c>
      <c r="I35" s="22" t="inlineStr">
        <is>
          <t>13/10/2026</t>
        </is>
      </c>
      <c r="J35" s="22" t="inlineStr">
        <is>
          <t>14/10/2026</t>
        </is>
      </c>
      <c r="K35" s="22" t="inlineStr">
        <is>
          <t>Review</t>
        </is>
      </c>
      <c r="L35" s="23" t="inlineStr">
        <is>
          <t>Bổ sung ngoài kế hoạch gốc. Đã xong 14/10/2026, nằm trong PR #3 chờ review</t>
        </is>
      </c>
    </row>
    <row r="36" ht="46.5" customHeight="1" s="18">
      <c r="A36" s="22" t="inlineStr">
        <is>
          <t>S3-32</t>
        </is>
      </c>
      <c r="B36" s="22" t="inlineStr">
        <is>
          <t>UC-UM-19</t>
        </is>
      </c>
      <c r="C36" s="23" t="inlineStr">
        <is>
          <t>BE – Nhân viên xác minh email thủ công (màn S22): lễ tân hoặc quản lý xác minh khi hội viên không nhận được email.</t>
        </is>
      </c>
      <c r="D36" s="24" t="inlineStr">
        <is>
          <t>BE</t>
        </is>
      </c>
      <c r="E36" s="22" t="inlineStr">
        <is>
          <t>Nhanh</t>
        </is>
      </c>
      <c r="F36" s="22" t="inlineStr">
        <is>
          <t>Simple</t>
        </is>
      </c>
      <c r="G36" s="23" t="inlineStr">
        <is>
          <t>Chỉ người có permission user.verify_email (không so sánh tên role); ghi nhật ký người thực hiện.</t>
        </is>
      </c>
      <c r="H36" s="22" t="inlineStr">
        <is>
          <t>feature/f3-sepay-online-payment</t>
        </is>
      </c>
      <c r="I36" s="22" t="inlineStr">
        <is>
          <t>13/10/2026</t>
        </is>
      </c>
      <c r="J36" s="22" t="inlineStr">
        <is>
          <t>14/10/2026</t>
        </is>
      </c>
      <c r="K36" s="22" t="inlineStr">
        <is>
          <t>Review</t>
        </is>
      </c>
      <c r="L36" s="23" t="inlineStr">
        <is>
          <t>Bổ sung ngoài kế hoạch gốc. Đã xong 14/10/2026, nằm trong PR #3 chờ review</t>
        </is>
      </c>
    </row>
    <row r="37" ht="46.5" customHeight="1" s="18">
      <c r="A37" s="22" t="inlineStr">
        <is>
          <t>S3-33</t>
        </is>
      </c>
      <c r="B37" s="22" t="inlineStr">
        <is>
          <t>UC-UM-19</t>
        </is>
      </c>
      <c r="C37" s="23" t="inlineStr">
        <is>
          <t>FE – Nhân viên xác minh email thủ công (màn S22): lễ tân hoặc quản lý xác minh khi hội viên không nhận được email.</t>
        </is>
      </c>
      <c r="D37" s="24" t="inlineStr">
        <is>
          <t>FE</t>
        </is>
      </c>
      <c r="E37" s="22" t="inlineStr">
        <is>
          <t>Nhanh</t>
        </is>
      </c>
      <c r="F37" s="22" t="inlineStr">
        <is>
          <t>Simple</t>
        </is>
      </c>
      <c r="G37" s="23" t="inlineStr">
        <is>
          <t>Chỉ người có permission user.verify_email (không so sánh tên role); ghi nhật ký người thực hiện.</t>
        </is>
      </c>
      <c r="H37" s="22" t="inlineStr">
        <is>
          <t>feature/f3-sepay-online-payment</t>
        </is>
      </c>
      <c r="I37" s="22" t="inlineStr">
        <is>
          <t>13/10/2026</t>
        </is>
      </c>
      <c r="J37" s="22" t="inlineStr">
        <is>
          <t>14/10/2026</t>
        </is>
      </c>
      <c r="K37" s="22" t="inlineStr">
        <is>
          <t>Review</t>
        </is>
      </c>
      <c r="L37" s="23" t="inlineStr">
        <is>
          <t>Bổ sung ngoài kế hoạch gốc. Đã xong 14/10/2026, nằm trong PR #3 chờ review</t>
        </is>
      </c>
    </row>
    <row r="38" ht="46.5" customHeight="1" s="18">
      <c r="A38" s="22" t="inlineStr">
        <is>
          <t>S3-34</t>
        </is>
      </c>
      <c r="B38" s="22" t="inlineStr">
        <is>
          <t>UC-UM-12</t>
        </is>
      </c>
      <c r="C38" s="23" t="inlineStr">
        <is>
          <t>BE – Liên hệ hỗ trợ khi không nhận được email (màn S19): hiển thị Zalo, Facebook, điện thoại trung tâm.</t>
        </is>
      </c>
      <c r="D38" s="24" t="inlineStr">
        <is>
          <t>BE</t>
        </is>
      </c>
      <c r="E38" s="22" t="inlineStr">
        <is>
          <t>Nhanh</t>
        </is>
      </c>
      <c r="F38" s="22" t="inlineStr">
        <is>
          <t>Simple</t>
        </is>
      </c>
      <c r="G38" s="23" t="inlineStr">
        <is>
          <t>Link Zalo và Facebook đọc từ system_settings (CENTER_SUPPORT_ZALO_URL, CENTER_SUPPORT_FACEBOOK_URL), kiểm tra định dạng URL; chỉ hiện kênh đã cấu hình; không trả dữ liệu nhạy cảm.</t>
        </is>
      </c>
      <c r="H38" s="22" t="inlineStr">
        <is>
          <t>feature/f3-sepay-online-payment</t>
        </is>
      </c>
      <c r="I38" s="22" t="inlineStr">
        <is>
          <t>13/10/2026</t>
        </is>
      </c>
      <c r="J38" s="22" t="inlineStr">
        <is>
          <t>14/10/2026</t>
        </is>
      </c>
      <c r="K38" s="22" t="inlineStr">
        <is>
          <t>Review</t>
        </is>
      </c>
      <c r="L38" s="23" t="inlineStr">
        <is>
          <t>Bổ sung ngoài kế hoạch gốc. Đã xong 14/10/2026, nằm trong PR #3 chờ review</t>
        </is>
      </c>
    </row>
    <row r="39" ht="46.5" customHeight="1" s="18">
      <c r="A39" s="22" t="inlineStr">
        <is>
          <t>S3-35</t>
        </is>
      </c>
      <c r="B39" s="22" t="inlineStr">
        <is>
          <t>UC-UM-12</t>
        </is>
      </c>
      <c r="C39" s="23" t="inlineStr">
        <is>
          <t>FE – Liên hệ hỗ trợ khi không nhận được email (màn S19): hiển thị Zalo, Facebook, điện thoại trung tâm.</t>
        </is>
      </c>
      <c r="D39" s="24" t="inlineStr">
        <is>
          <t>FE</t>
        </is>
      </c>
      <c r="E39" s="22" t="inlineStr">
        <is>
          <t>Nhanh</t>
        </is>
      </c>
      <c r="F39" s="22" t="inlineStr">
        <is>
          <t>Simple</t>
        </is>
      </c>
      <c r="G39" s="23" t="inlineStr">
        <is>
          <t>Link Zalo và Facebook đọc từ system_settings (CENTER_SUPPORT_ZALO_URL, CENTER_SUPPORT_FACEBOOK_URL), kiểm tra định dạng URL; chỉ hiện kênh đã cấu hình; không trả dữ liệu nhạy cảm.</t>
        </is>
      </c>
      <c r="H39" s="22" t="inlineStr">
        <is>
          <t>feature/f3-sepay-online-payment</t>
        </is>
      </c>
      <c r="I39" s="22" t="inlineStr">
        <is>
          <t>13/10/2026</t>
        </is>
      </c>
      <c r="J39" s="22" t="inlineStr">
        <is>
          <t>14/10/2026</t>
        </is>
      </c>
      <c r="K39" s="22" t="inlineStr">
        <is>
          <t>Review</t>
        </is>
      </c>
      <c r="L39" s="23" t="inlineStr">
        <is>
          <t>Bổ sung ngoài kế hoạch gốc. Đã xong 14/10/2026, nằm trong PR #3 chờ review</t>
        </is>
      </c>
    </row>
    <row r="40" ht="60" customHeight="1" s="18">
      <c r="A40" s="22" t="inlineStr">
        <is>
          <t>S3-36</t>
        </is>
      </c>
      <c r="B40" s="22" t="inlineStr">
        <is>
          <t>UC-UM-16</t>
        </is>
      </c>
      <c r="C40" s="23" t="inlineStr">
        <is>
          <t>BE – Cấu hình tài khoản nhận tiền SePay động (màn S27): mỗi thành viên nhập tài khoản SePay test riêng.</t>
        </is>
      </c>
      <c r="D40" s="24" t="inlineStr">
        <is>
          <t>BE</t>
        </is>
      </c>
      <c r="E40" s="22" t="inlineStr">
        <is>
          <t>Nhanh</t>
        </is>
      </c>
      <c r="F40" s="22" t="inlineStr">
        <is>
          <t>Simple</t>
        </is>
      </c>
      <c r="G40" s="23" t="inlineStr">
        <is>
          <t>Không hardcode: PAYMENT_BANK_CODE, PAYMENT_BANK_ACCOUNT_NUMBER, PAYMENT_BANK_ACCOUNT_NAME trong system_settings; chỉ SEPAY_WEBHOOK_API_KEY ở .env; kiểm tra định dạng mã ngân hàng và số tài khoản. Form Cài đặt dựng từ schema dùng chung nên không có FE riêng.</t>
        </is>
      </c>
      <c r="H40" s="22" t="inlineStr">
        <is>
          <t>feature/f3-sepay-online-payment</t>
        </is>
      </c>
      <c r="I40" s="22" t="inlineStr">
        <is>
          <t>13/10/2026</t>
        </is>
      </c>
      <c r="J40" s="22" t="inlineStr">
        <is>
          <t>14/10/2026</t>
        </is>
      </c>
      <c r="K40" s="22" t="inlineStr">
        <is>
          <t>Review</t>
        </is>
      </c>
      <c r="L40" s="23" t="inlineStr">
        <is>
          <t>Bổ sung ngoài kế hoạch gốc. Đã xong 14/10/2026, nằm trong PR #3 chờ review</t>
        </is>
      </c>
    </row>
    <row r="41" ht="46.5" customHeight="1" s="18">
      <c r="A41" s="22" t="inlineStr">
        <is>
          <t>S3-37</t>
        </is>
      </c>
      <c r="B41" s="22" t="inlineStr">
        <is>
          <t>UC-PAY-06</t>
        </is>
      </c>
      <c r="C41" s="23" t="inlineStr">
        <is>
          <t>BE – Phân biệt kênh hoá đơn ONLINE và COUNTER (màn 16): cột và bộ lọc kênh; hộp thu tiền hiển thị trước tác động lên gói.</t>
        </is>
      </c>
      <c r="D41" s="24" t="inlineStr">
        <is>
          <t>BE</t>
        </is>
      </c>
      <c r="E41" s="22" t="inlineStr">
        <is>
          <t>Nhanh</t>
        </is>
      </c>
      <c r="F41" s="22" t="inlineStr">
        <is>
          <t>Medium</t>
        </is>
      </c>
      <c r="G41" s="23" t="inlineStr">
        <is>
          <t>Kênh gán lúc tạo: hội viên tự mua là ONLINE, lễ tân tạo là COUNTER. Một gói không có đồng thời hoá đơn PENDING khác kênh cho cùng hội viên. Hiển thị trước gói cộng dồn (còn hạn) hay bắt đầu mới (hết hạn) theo BR-1.3 và BR-1.4.</t>
        </is>
      </c>
      <c r="H41" s="22" t="inlineStr">
        <is>
          <t>feature/f3-sepay-online-payment</t>
        </is>
      </c>
      <c r="I41" s="22" t="inlineStr">
        <is>
          <t>13/10/2026</t>
        </is>
      </c>
      <c r="J41" s="22" t="inlineStr">
        <is>
          <t>14/10/2026</t>
        </is>
      </c>
      <c r="K41" s="22" t="inlineStr">
        <is>
          <t>Review</t>
        </is>
      </c>
      <c r="L41" s="23" t="inlineStr">
        <is>
          <t>Bổ sung ngoài kế hoạch gốc. Đã xong 14/10/2026, nằm trong PR #3 chờ review</t>
        </is>
      </c>
    </row>
    <row r="42" ht="46.5" customHeight="1" s="18">
      <c r="A42" s="22" t="inlineStr">
        <is>
          <t>S3-38</t>
        </is>
      </c>
      <c r="B42" s="22" t="inlineStr">
        <is>
          <t>UC-PAY-06</t>
        </is>
      </c>
      <c r="C42" s="23" t="inlineStr">
        <is>
          <t>FE – Phân biệt kênh hoá đơn ONLINE và COUNTER (màn 16): cột và bộ lọc kênh; hộp thu tiền hiển thị trước tác động lên gói.</t>
        </is>
      </c>
      <c r="D42" s="24" t="inlineStr">
        <is>
          <t>FE</t>
        </is>
      </c>
      <c r="E42" s="22" t="inlineStr">
        <is>
          <t>Nhanh</t>
        </is>
      </c>
      <c r="F42" s="22" t="inlineStr">
        <is>
          <t>Medium</t>
        </is>
      </c>
      <c r="G42" s="23" t="inlineStr">
        <is>
          <t>Kênh gán lúc tạo: hội viên tự mua là ONLINE, lễ tân tạo là COUNTER. Một gói không có đồng thời hoá đơn PENDING khác kênh cho cùng hội viên. Hiển thị trước gói cộng dồn (còn hạn) hay bắt đầu mới (hết hạn) theo BR-1.3 và BR-1.4.</t>
        </is>
      </c>
      <c r="H42" s="22" t="inlineStr">
        <is>
          <t>feature/f3-sepay-online-payment</t>
        </is>
      </c>
      <c r="I42" s="22" t="inlineStr">
        <is>
          <t>13/10/2026</t>
        </is>
      </c>
      <c r="J42" s="22" t="inlineStr">
        <is>
          <t>14/10/2026</t>
        </is>
      </c>
      <c r="K42" s="22" t="inlineStr">
        <is>
          <t>Review</t>
        </is>
      </c>
      <c r="L42" s="23" t="inlineStr">
        <is>
          <t>Bổ sung ngoài kế hoạch gốc. Đã xong 14/10/2026, nằm trong PR #3 chờ review</t>
        </is>
      </c>
    </row>
    <row r="43" ht="46.5" customHeight="1" s="18">
      <c r="A43" s="22" t="inlineStr">
        <is>
          <t>S3-39</t>
        </is>
      </c>
      <c r="B43" s="22" t="inlineStr">
        <is>
          <t>UC-UM-03</t>
        </is>
      </c>
      <c r="C43" s="23" t="inlineStr">
        <is>
          <t>BE – Gói tập là thời hạn có giảm giá (màn 4): đơn giá mỗi ngày, phần trăm tiết kiệm, banner hạn dùng và số lần thanh toán đã cộng dồn.</t>
        </is>
      </c>
      <c r="D43" s="24" t="inlineStr">
        <is>
          <t>BE</t>
        </is>
      </c>
      <c r="E43" s="22" t="inlineStr">
        <is>
          <t>Nhanh</t>
        </is>
      </c>
      <c r="F43" s="22" t="inlineStr">
        <is>
          <t>Medium</t>
        </is>
      </c>
      <c r="G43" s="23" t="inlineStr">
        <is>
          <t>BR-1.2 và BR-1.3: gia hạn khi còn hạn cộng dồn vào cùng một membership. Gói chỉ quy định thời hạn và đơn giá, mọi gói có quyền lợi như nhau; phần trăm tiết kiệm tính từ giá thật so với gói ngắn nhất đang bán.</t>
        </is>
      </c>
      <c r="H43" s="22" t="inlineStr">
        <is>
          <t>feature/f3-sepay-online-payment</t>
        </is>
      </c>
      <c r="I43" s="22" t="inlineStr">
        <is>
          <t>13/10/2026</t>
        </is>
      </c>
      <c r="J43" s="22" t="inlineStr">
        <is>
          <t>14/10/2026</t>
        </is>
      </c>
      <c r="K43" s="22" t="inlineStr">
        <is>
          <t>Review</t>
        </is>
      </c>
      <c r="L43" s="23" t="inlineStr">
        <is>
          <t>Bổ sung ngoài kế hoạch gốc. Đã xong 14/10/2026, nằm trong PR #3 chờ review</t>
        </is>
      </c>
    </row>
    <row r="44" ht="46.5" customHeight="1" s="18">
      <c r="A44" s="22" t="inlineStr">
        <is>
          <t>S3-40</t>
        </is>
      </c>
      <c r="B44" s="22" t="inlineStr">
        <is>
          <t>UC-UM-03</t>
        </is>
      </c>
      <c r="C44" s="23" t="inlineStr">
        <is>
          <t>FE – Gói tập là thời hạn có giảm giá (màn 4): đơn giá mỗi ngày, phần trăm tiết kiệm, banner hạn dùng và số lần thanh toán đã cộng dồn.</t>
        </is>
      </c>
      <c r="D44" s="24" t="inlineStr">
        <is>
          <t>FE</t>
        </is>
      </c>
      <c r="E44" s="22" t="inlineStr">
        <is>
          <t>Nhanh</t>
        </is>
      </c>
      <c r="F44" s="22" t="inlineStr">
        <is>
          <t>Medium</t>
        </is>
      </c>
      <c r="G44" s="23" t="inlineStr">
        <is>
          <t>BR-1.2 và BR-1.3: gia hạn khi còn hạn cộng dồn vào cùng một membership. Gói chỉ quy định thời hạn và đơn giá, mọi gói có quyền lợi như nhau; phần trăm tiết kiệm tính từ giá thật so với gói ngắn nhất đang bán.</t>
        </is>
      </c>
      <c r="H44" s="22" t="inlineStr">
        <is>
          <t>feature/f3-sepay-online-payment</t>
        </is>
      </c>
      <c r="I44" s="22" t="inlineStr">
        <is>
          <t>13/10/2026</t>
        </is>
      </c>
      <c r="J44" s="22" t="inlineStr">
        <is>
          <t>14/10/2026</t>
        </is>
      </c>
      <c r="K44" s="22" t="inlineStr">
        <is>
          <t>Review</t>
        </is>
      </c>
      <c r="L44" s="23" t="inlineStr">
        <is>
          <t>Bổ sung ngoài kế hoạch gốc. Đã xong 14/10/2026, nằm trong PR #3 chờ review</t>
        </is>
      </c>
    </row>
    <row r="45" ht="46.5" customHeight="1" s="18">
      <c r="A45" s="22" t="inlineStr">
        <is>
          <t>S3-41</t>
        </is>
      </c>
      <c r="B45" s="22" t="inlineStr">
        <is>
          <t>UC-CB-06</t>
        </is>
      </c>
      <c r="C45" s="23" t="inlineStr">
        <is>
          <t>BE – Làm sâu luật xếp lớp (màn 9, 10): lý do chặn cụ thể, thông báo thành công riêng cho đăng ký, huỷ, đăng ký hộ; mô tả lịch tuần dễ đọc.</t>
        </is>
      </c>
      <c r="D45" s="24" t="inlineStr">
        <is>
          <t>BE</t>
        </is>
      </c>
      <c r="E45" s="22" t="inlineStr">
        <is>
          <t>Nhanh</t>
        </is>
      </c>
      <c r="F45" s="22" t="inlineStr">
        <is>
          <t>Medium</t>
        </is>
      </c>
      <c r="G45" s="23" t="inlineStr">
        <is>
          <t>BR-2.1 đến BR-2.5. Trùng giờ khi a.start &lt; b.end và b.start &lt; a.end; hạn huỷ = buổi kế tiếp trừ CLASS_CANCEL_MIN_HOURS_BEFORE giờ; có ngoại lệ huỷ khi đổi lịch gây xung đột. FE hiển thị đúng lý do backend trả về.</t>
        </is>
      </c>
      <c r="H45" s="22" t="inlineStr">
        <is>
          <t>feature/f3-sepay-online-payment</t>
        </is>
      </c>
      <c r="I45" s="22" t="inlineStr">
        <is>
          <t>13/10/2026</t>
        </is>
      </c>
      <c r="J45" s="22" t="inlineStr">
        <is>
          <t>14/10/2026</t>
        </is>
      </c>
      <c r="K45" s="22" t="inlineStr">
        <is>
          <t>Review</t>
        </is>
      </c>
      <c r="L45" s="23" t="inlineStr">
        <is>
          <t>Bổ sung ngoài kế hoạch gốc. Đã xong 14/10/2026, nằm trong PR #3 chờ review</t>
        </is>
      </c>
    </row>
    <row r="46" ht="46.5" customHeight="1" s="18">
      <c r="A46" s="22" t="inlineStr">
        <is>
          <t>S3-42</t>
        </is>
      </c>
      <c r="B46" s="22" t="inlineStr">
        <is>
          <t>UC-CB-06</t>
        </is>
      </c>
      <c r="C46" s="23" t="inlineStr">
        <is>
          <t>FE – Làm sâu luật xếp lớp (màn 9, 10): lý do chặn cụ thể, thông báo thành công riêng cho đăng ký, huỷ, đăng ký hộ; mô tả lịch tuần dễ đọc.</t>
        </is>
      </c>
      <c r="D46" s="24" t="inlineStr">
        <is>
          <t>FE</t>
        </is>
      </c>
      <c r="E46" s="22" t="inlineStr">
        <is>
          <t>Nhanh</t>
        </is>
      </c>
      <c r="F46" s="22" t="inlineStr">
        <is>
          <t>Medium</t>
        </is>
      </c>
      <c r="G46" s="23" t="inlineStr">
        <is>
          <t>BR-2.1 đến BR-2.5. Trùng giờ khi a.start &lt; b.end và b.start &lt; a.end; hạn huỷ = buổi kế tiếp trừ CLASS_CANCEL_MIN_HOURS_BEFORE giờ; có ngoại lệ huỷ khi đổi lịch gây xung đột. FE hiển thị đúng lý do backend trả về.</t>
        </is>
      </c>
      <c r="H46" s="22" t="inlineStr">
        <is>
          <t>feature/f3-sepay-online-payment</t>
        </is>
      </c>
      <c r="I46" s="22" t="inlineStr">
        <is>
          <t>13/10/2026</t>
        </is>
      </c>
      <c r="J46" s="22" t="inlineStr">
        <is>
          <t>14/10/2026</t>
        </is>
      </c>
      <c r="K46" s="22" t="inlineStr">
        <is>
          <t>Review</t>
        </is>
      </c>
      <c r="L46" s="23" t="inlineStr">
        <is>
          <t>Bổ sung ngoài kế hoạch gốc. Đã xong 14/10/2026, nằm trong PR #3 chờ review</t>
        </is>
      </c>
    </row>
    <row r="47" ht="46.5" customHeight="1" s="18">
      <c r="A47" s="22" t="inlineStr">
        <is>
          <t>S3-43</t>
        </is>
      </c>
      <c r="B47" s="22" t="inlineStr">
        <is>
          <t>Tài liệu</t>
        </is>
      </c>
      <c r="C47" s="23" t="inlineStr">
        <is>
          <t>Docs – Tài liệu ERD bản 2, mô phỏng một user nhiều membership, kịch bản demo 15 phút.</t>
        </is>
      </c>
      <c r="D47" s="24" t="inlineStr">
        <is>
          <t>Docs</t>
        </is>
      </c>
      <c r="E47" s="22" t="inlineStr">
        <is>
          <t>Nhanh</t>
        </is>
      </c>
      <c r="F47" s="22" t="inlineStr">
        <is>
          <t>Simple</t>
        </is>
      </c>
      <c r="G47" s="23" t="inlineStr">
        <is>
          <t>Không có business rule; mô tả đúng hành vi code (activeUserId duy nhất, gia hạn cộng dồn vào cùng một dòng).</t>
        </is>
      </c>
      <c r="H47" s="22" t="inlineStr">
        <is>
          <t>feature/f3-sepay-online-payment</t>
        </is>
      </c>
      <c r="I47" s="22" t="inlineStr">
        <is>
          <t>13/10/2026</t>
        </is>
      </c>
      <c r="J47" s="22" t="inlineStr">
        <is>
          <t>14/10/2026</t>
        </is>
      </c>
      <c r="K47" s="22" t="inlineStr">
        <is>
          <t>Review</t>
        </is>
      </c>
      <c r="L47" s="23" t="inlineStr">
        <is>
          <t>Bổ sung ngoài kế hoạch gốc. Đã xong 14/10/2026, nằm trong PR #3 chờ review</t>
        </is>
      </c>
    </row>
    <row r="48" ht="46.5" customHeight="1" s="18">
      <c r="A48" s="22" t="inlineStr">
        <is>
          <t>S3-44</t>
        </is>
      </c>
      <c r="B48" s="22" t="inlineStr">
        <is>
          <t>Phi chức năng</t>
        </is>
      </c>
      <c r="C48" s="23" t="inlineStr">
        <is>
          <t>Khác – Vá lỗ hổng phụ thuộc: npm audit chạy production còn 0 lỗ hổng.</t>
        </is>
      </c>
      <c r="D48" s="24" t="inlineStr">
        <is>
          <t>Khác</t>
        </is>
      </c>
      <c r="E48" s="22" t="inlineStr">
        <is>
          <t>Nhanh</t>
        </is>
      </c>
      <c r="F48" s="22" t="inlineStr">
        <is>
          <t>Simple</t>
        </is>
      </c>
      <c r="G48" s="23" t="inlineStr">
        <is>
          <t>Không có business rule; 3 cảnh báo còn lại chỉ ở công cụ lint và chưa có bản vá.</t>
        </is>
      </c>
      <c r="H48" s="22" t="inlineStr">
        <is>
          <t>feature/f3-sepay-online-payment</t>
        </is>
      </c>
      <c r="I48" s="22" t="inlineStr">
        <is>
          <t>13/10/2026</t>
        </is>
      </c>
      <c r="J48" s="22" t="inlineStr">
        <is>
          <t>14/10/2026</t>
        </is>
      </c>
      <c r="K48" s="22" t="inlineStr">
        <is>
          <t>Review</t>
        </is>
      </c>
      <c r="L48" s="23" t="inlineStr">
        <is>
          <t>Bổ sung ngoài kế hoạch gốc. Đã xong 14/10/2026, nằm trong PR #3 chờ review</t>
        </is>
      </c>
    </row>
    <row r="49" ht="46.5" customHeight="1" s="18">
      <c r="A49" s="22" t="inlineStr">
        <is>
          <t>S3-45</t>
        </is>
      </c>
      <c r="B49" s="22" t="inlineStr">
        <is>
          <t>Kiểm thử</t>
        </is>
      </c>
      <c r="C49" s="23" t="inlineStr">
        <is>
          <t>Test – E2E Playwright desktop 19 ca (SePay, quầy, email, xếp lớp) và báo cáo nghiệm thu.</t>
        </is>
      </c>
      <c r="D49" s="24" t="inlineStr">
        <is>
          <t>Test</t>
        </is>
      </c>
      <c r="E49" s="22" t="inlineStr">
        <is>
          <t>Nhanh</t>
        </is>
      </c>
      <c r="F49" s="22" t="inlineStr">
        <is>
          <t>Simple</t>
        </is>
      </c>
      <c r="G49" s="23" t="inlineStr">
        <is>
          <t>Không có business rule; chỉ chạy giao diện desktop 1366×900 theo yêu cầu giảng viên.</t>
        </is>
      </c>
      <c r="H49" s="22" t="inlineStr">
        <is>
          <t>feature/f3-sepay-online-payment</t>
        </is>
      </c>
      <c r="I49" s="22" t="inlineStr">
        <is>
          <t>13/10/2026</t>
        </is>
      </c>
      <c r="J49" s="22" t="inlineStr">
        <is>
          <t>14/10/2026</t>
        </is>
      </c>
      <c r="K49" s="22" t="inlineStr">
        <is>
          <t>Review</t>
        </is>
      </c>
      <c r="L49" s="23" t="inlineStr">
        <is>
          <t>Bổ sung ngoài kế hoạch gốc. Đã xong 14/10/2026, nằm trong PR #3 chờ review</t>
        </is>
      </c>
    </row>
    <row r="50" ht="87" customHeight="1" s="18">
      <c r="A50" s="22" t="inlineStr">
        <is>
          <t>S3-46</t>
        </is>
      </c>
      <c r="B50" s="22" t="inlineStr">
        <is>
          <t>UC-AT-01</t>
        </is>
      </c>
      <c r="C50" s="23" t="inlineStr">
        <is>
          <t>BE – Check-in tại quầy: lễ tân tìm hội viên, xác nhận người đến trung tâm và ghi lại lượt check-in cùng cảnh báo về tài khoản/gói nếu cần. Kéo từ Sprint 4 xuống Sprint 3 để làm sâu Flow 1: check-in kiểm tra gói còn hạn, đang bảo lưu hay bị chặn.</t>
        </is>
      </c>
      <c r="D50" s="24" t="inlineStr">
        <is>
          <t>BE</t>
        </is>
      </c>
      <c r="E50" s="22" t="inlineStr">
        <is>
          <t>Bảo</t>
        </is>
      </c>
      <c r="F50" s="22" t="inlineStr">
        <is>
          <t>Medium</t>
        </is>
      </c>
      <c r="G50" s="23" t="inlineStr">
        <is>
          <t>Lễ tân xác nhận hội viên đến trung tâm và ghi lượt check-in. Tài khoản bị khoá không được vào; gói hết hạn có thể ghi lượt theo policy nhưng phải cảnh báo, không tự kích hoạt membership mới theo BR-1.5/1.9.</t>
        </is>
      </c>
      <c r="H50" s="22" t="inlineStr">
        <is>
          <t>sprint-3/be-bao</t>
        </is>
      </c>
      <c r="I50" s="22" t="inlineStr">
        <is>
          <t>20/10/2026</t>
        </is>
      </c>
      <c r="J50" s="22" t="inlineStr">
        <is>
          <t>02/11/2026</t>
        </is>
      </c>
      <c r="K50" s="22" t="inlineStr">
        <is>
          <t>Review</t>
        </is>
      </c>
      <c r="L50" s="23" t="inlineStr">
        <is>
          <t>Kéo từ Sprint 4.</t>
        </is>
      </c>
    </row>
    <row r="51" ht="87" customHeight="1" s="18">
      <c r="A51" s="22" t="inlineStr">
        <is>
          <t>S3-47</t>
        </is>
      </c>
      <c r="B51" s="22" t="inlineStr">
        <is>
          <t>UC-AT-01</t>
        </is>
      </c>
      <c r="C51" s="23" t="inlineStr">
        <is>
          <t>FE – Check-in tại quầy: lễ tân tìm hội viên, xác nhận người đến trung tâm và ghi lại lượt check-in cùng cảnh báo về tài khoản/gói nếu cần. Kéo từ Sprint 4 xuống Sprint 3 để làm sâu Flow 1: check-in kiểm tra gói còn hạn, đang bảo lưu hay bị chặn.</t>
        </is>
      </c>
      <c r="D51" s="24" t="inlineStr">
        <is>
          <t>FE</t>
        </is>
      </c>
      <c r="E51" s="22" t="inlineStr">
        <is>
          <t>Khải</t>
        </is>
      </c>
      <c r="F51" s="22" t="inlineStr">
        <is>
          <t>Medium</t>
        </is>
      </c>
      <c r="G51" s="23" t="inlineStr">
        <is>
          <t>Lễ tân xác nhận hội viên đến trung tâm và ghi lượt check-in. Tài khoản bị khoá không được vào; gói hết hạn có thể ghi lượt theo policy nhưng phải cảnh báo, không tự kích hoạt membership mới theo BR-1.5/1.9.</t>
        </is>
      </c>
      <c r="H51" s="22" t="inlineStr">
        <is>
          <t>sprint-3/fe-khai</t>
        </is>
      </c>
      <c r="I51" s="22" t="inlineStr">
        <is>
          <t>20/10/2026</t>
        </is>
      </c>
      <c r="J51" s="22" t="inlineStr">
        <is>
          <t>02/11/2026</t>
        </is>
      </c>
      <c r="K51" s="22" t="inlineStr">
        <is>
          <t>To Do</t>
        </is>
      </c>
      <c r="L51" s="23" t="inlineStr">
        <is>
          <t>Kéo từ Sprint 4.</t>
        </is>
      </c>
    </row>
    <row r="52" ht="73.5" customHeight="1" s="18">
      <c r="A52" s="22" t="inlineStr">
        <is>
          <t>S3-48</t>
        </is>
      </c>
      <c r="B52" s="22" t="inlineStr">
        <is>
          <t>UC-AT-02</t>
        </is>
      </c>
      <c r="C52" s="23" t="inlineStr">
        <is>
          <t>BE – Điểm danh buổi học: coach mở một buổi học và ghi có mặt/vắng cho các hội viên đã đăng ký; hệ thống kiểm soát quyền và thời hạn sửa. Kéo từ Sprint 4 xuống Sprint 3 để làm sâu Flow 2: dữ liệu vắng mặt dùng cho luật chặn đăng ký (#107).</t>
        </is>
      </c>
      <c r="D52" s="24" t="inlineStr">
        <is>
          <t>BE</t>
        </is>
      </c>
      <c r="E52" s="22" t="inlineStr">
        <is>
          <t>Bảo</t>
        </is>
      </c>
      <c r="F52" s="22" t="inlineStr">
        <is>
          <t>Medium</t>
        </is>
      </c>
      <c r="G52" s="23" t="inlineStr">
        <is>
          <t>Chỉ coach phụ trách hoặc Manager điểm danh cho hội viên đã đăng ký trong buổi chưa huỷ. Sửa chỉ trong thời hạn cho phép; quá hạn cần Manager mở quyền, không điểm danh người chưa đăng ký.</t>
        </is>
      </c>
      <c r="H52" s="22" t="inlineStr">
        <is>
          <t>sprint-3/be-bao</t>
        </is>
      </c>
      <c r="I52" s="22" t="inlineStr">
        <is>
          <t>20/10/2026</t>
        </is>
      </c>
      <c r="J52" s="22" t="inlineStr">
        <is>
          <t>02/11/2026</t>
        </is>
      </c>
      <c r="K52" s="22" t="inlineStr">
        <is>
          <t>Review</t>
        </is>
      </c>
      <c r="L52" s="23" t="inlineStr">
        <is>
          <t>Kéo từ Sprint 4. Dữ liệu vắng mặt dùng cho #107.</t>
        </is>
      </c>
    </row>
    <row r="53" ht="73.5" customHeight="1" s="18">
      <c r="A53" s="22" t="inlineStr">
        <is>
          <t>S3-49</t>
        </is>
      </c>
      <c r="B53" s="22" t="inlineStr">
        <is>
          <t>UC-AT-02</t>
        </is>
      </c>
      <c r="C53" s="23" t="inlineStr">
        <is>
          <t>FE – Điểm danh buổi học: coach mở một buổi học và ghi có mặt/vắng cho các hội viên đã đăng ký; hệ thống kiểm soát quyền và thời hạn sửa. Kéo từ Sprint 4 xuống Sprint 3 để làm sâu Flow 2: dữ liệu vắng mặt dùng cho luật chặn đăng ký (#107).</t>
        </is>
      </c>
      <c r="D53" s="24" t="inlineStr">
        <is>
          <t>FE</t>
        </is>
      </c>
      <c r="E53" s="22" t="inlineStr">
        <is>
          <t>Khôi</t>
        </is>
      </c>
      <c r="F53" s="22" t="inlineStr">
        <is>
          <t>Medium</t>
        </is>
      </c>
      <c r="G53" s="23" t="inlineStr">
        <is>
          <t>Chỉ coach phụ trách hoặc Manager điểm danh cho hội viên đã đăng ký trong buổi chưa huỷ. Sửa chỉ trong thời hạn cho phép; quá hạn cần Manager mở quyền, không điểm danh người chưa đăng ký.</t>
        </is>
      </c>
      <c r="H53" s="22" t="inlineStr">
        <is>
          <t>sprint-3/fe-khoi</t>
        </is>
      </c>
      <c r="I53" s="22" t="inlineStr">
        <is>
          <t>20/10/2026</t>
        </is>
      </c>
      <c r="J53" s="22" t="inlineStr">
        <is>
          <t>02/11/2026</t>
        </is>
      </c>
      <c r="K53" s="22" t="inlineStr">
        <is>
          <t>Review</t>
        </is>
      </c>
      <c r="L53" s="23" t="inlineStr">
        <is>
          <t>Kéo từ Sprint 4. Dữ liệu vắng mặt dùng cho #107.</t>
        </is>
      </c>
    </row>
    <row r="54" ht="73.5" customHeight="1" s="18">
      <c r="A54" s="22" t="inlineStr">
        <is>
          <t>S3-50</t>
        </is>
      </c>
      <c r="B54" s="22" t="inlineStr">
        <is>
          <t>UC-AT-03</t>
        </is>
      </c>
      <c r="C54" s="23" t="inlineStr">
        <is>
          <t>BE – Lịch sử điểm danh của tôi: người dùng xem các lượt điểm danh của chính mình theo thời gian, lớp và trạng thái có mặt/vắng. Kéo từ Sprint 4 xuống Sprint 3 (Khôi làm cả BE và FE vì là chức năng chỉ đọc).</t>
        </is>
      </c>
      <c r="D54" s="24" t="inlineStr">
        <is>
          <t>BE</t>
        </is>
      </c>
      <c r="E54" s="22" t="inlineStr">
        <is>
          <t>Khôi</t>
        </is>
      </c>
      <c r="F54" s="22" t="inlineStr">
        <is>
          <t>Simple</t>
        </is>
      </c>
      <c r="G54" s="23" t="inlineStr">
        <is>
          <t>Chỉ hiển thị attendance của chính người dùng theo ngày, lớp và trạng thái có mặt/vắng. Màn hình tra cứu không xoá/sửa lịch sử; bản ghi phải giữ liên kết đến buổi học và người thực hiện.</t>
        </is>
      </c>
      <c r="H54" s="22" t="inlineStr">
        <is>
          <t>sprint-3/fe-khoi</t>
        </is>
      </c>
      <c r="I54" s="22" t="inlineStr">
        <is>
          <t>20/10/2026</t>
        </is>
      </c>
      <c r="J54" s="22" t="inlineStr">
        <is>
          <t>02/11/2026</t>
        </is>
      </c>
      <c r="K54" s="22" t="inlineStr">
        <is>
          <t>Review</t>
        </is>
      </c>
      <c r="L54" s="23" t="inlineStr">
        <is>
          <t>Kéo từ Sprint 4. Full-stack để thành viên FE làm thêm BE; người review BE: Bảo.</t>
        </is>
      </c>
    </row>
    <row r="55" ht="73.5" customHeight="1" s="18">
      <c r="A55" s="22" t="inlineStr">
        <is>
          <t>S3-51</t>
        </is>
      </c>
      <c r="B55" s="22" t="inlineStr">
        <is>
          <t>UC-AT-03</t>
        </is>
      </c>
      <c r="C55" s="23" t="inlineStr">
        <is>
          <t>FE – Lịch sử điểm danh của tôi: người dùng xem các lượt điểm danh của chính mình theo thời gian, lớp và trạng thái có mặt/vắng. Kéo từ Sprint 4 xuống Sprint 3 (Khôi làm cả BE và FE vì là chức năng chỉ đọc).</t>
        </is>
      </c>
      <c r="D55" s="24" t="inlineStr">
        <is>
          <t>FE</t>
        </is>
      </c>
      <c r="E55" s="22" t="inlineStr">
        <is>
          <t>Khôi</t>
        </is>
      </c>
      <c r="F55" s="22" t="inlineStr">
        <is>
          <t>Simple</t>
        </is>
      </c>
      <c r="G55" s="23" t="inlineStr">
        <is>
          <t>Chỉ hiển thị attendance của chính người dùng theo ngày, lớp và trạng thái có mặt/vắng. Màn hình tra cứu không xoá/sửa lịch sử; bản ghi phải giữ liên kết đến buổi học và người thực hiện.</t>
        </is>
      </c>
      <c r="H55" s="22" t="inlineStr">
        <is>
          <t>sprint-3/fe-khoi</t>
        </is>
      </c>
      <c r="I55" s="22" t="inlineStr">
        <is>
          <t>20/10/2026</t>
        </is>
      </c>
      <c r="J55" s="22" t="inlineStr">
        <is>
          <t>02/11/2026</t>
        </is>
      </c>
      <c r="K55" s="22" t="inlineStr">
        <is>
          <t>Review</t>
        </is>
      </c>
      <c r="L55" s="23" t="inlineStr">
        <is>
          <t>Kéo từ Sprint 4.</t>
        </is>
      </c>
    </row>
    <row r="56" ht="87" customHeight="1" s="18">
      <c r="A56" s="22" t="inlineStr">
        <is>
          <t>S3-52</t>
        </is>
      </c>
      <c r="B56" s="22" t="inlineStr">
        <is>
          <t>UC-PAY-11</t>
        </is>
      </c>
      <c r="C56" s="23" t="inlineStr">
        <is>
          <t>BE – Map giao dịch sai mã vào hội viên / gói (màn S29): Manager hoặc lễ tân có quyền mở một giao dịch không tự khớp (sai mã, thiếu mã), tìm hội viên theo tên/SĐT, chọn hoá đơn PENDING/FAILED của người đó hoặc tạo hoá đơn mới cho một gói đang bán rồi gán giao dịch vào.</t>
        </is>
      </c>
      <c r="D56" s="24" t="inlineStr">
        <is>
          <t>BE</t>
        </is>
      </c>
      <c r="E56" s="22" t="inlineStr">
        <is>
          <t>Nhanh</t>
        </is>
      </c>
      <c r="F56" s="22" t="inlineStr">
        <is>
          <t>Complex</t>
        </is>
      </c>
      <c r="G56" s="23" t="inlineStr">
        <is>
          <t>BR-PAY-15: chỉ người có payment.reconcile, không so tên role. Gán xong chạy lại đúng bước khớp tiền của webhook (một hàm dùng chung): đủ tiền ⇒ PAID + kích hoạt gói theo BR-1.3/1.4; thiếu ⇒ #89; thừa ⇒ #90. Một giao dịch chỉ map một lần (khoá hàng), ghi audit người map, lý do, số tiền.</t>
        </is>
      </c>
      <c r="H56" s="22" t="inlineStr">
        <is>
          <t>sprint-3/be-nhanh</t>
        </is>
      </c>
      <c r="I56" s="22" t="inlineStr">
        <is>
          <t>20/10/2026</t>
        </is>
      </c>
      <c r="J56" s="22" t="inlineStr">
        <is>
          <t>02/11/2026</t>
        </is>
      </c>
      <c r="K56" s="22" t="inlineStr">
        <is>
          <t>Review</t>
        </is>
      </c>
      <c r="L56" s="23" t="inlineStr">
        <is>
          <t>BE xong 14/10/2026 trên sprint-3/be-nhanh, 143 test BE pass; chờ review/merge</t>
        </is>
      </c>
    </row>
    <row r="57" ht="87" customHeight="1" s="18">
      <c r="A57" s="22" t="inlineStr">
        <is>
          <t>S3-53</t>
        </is>
      </c>
      <c r="B57" s="22" t="inlineStr">
        <is>
          <t>UC-PAY-11</t>
        </is>
      </c>
      <c r="C57" s="23" t="inlineStr">
        <is>
          <t>FE – Map giao dịch sai mã vào hội viên / gói (màn S29): Manager hoặc lễ tân có quyền mở một giao dịch không tự khớp (sai mã, thiếu mã), tìm hội viên theo tên/SĐT, chọn hoá đơn PENDING/FAILED của người đó hoặc tạo hoá đơn mới cho một gói đang bán rồi gán giao dịch vào.</t>
        </is>
      </c>
      <c r="D57" s="24" t="inlineStr">
        <is>
          <t>FE</t>
        </is>
      </c>
      <c r="E57" s="22" t="inlineStr">
        <is>
          <t>Khải</t>
        </is>
      </c>
      <c r="F57" s="22" t="inlineStr">
        <is>
          <t>Complex</t>
        </is>
      </c>
      <c r="G57" s="23" t="inlineStr">
        <is>
          <t>BR-PAY-15: chỉ người có payment.reconcile, không so tên role. Gán xong chạy lại đúng bước khớp tiền của webhook (một hàm dùng chung): đủ tiền ⇒ PAID + kích hoạt gói theo BR-1.3/1.4; thiếu ⇒ #89; thừa ⇒ #90. Một giao dịch chỉ map một lần (khoá hàng), ghi audit người map, lý do, số tiền.</t>
        </is>
      </c>
      <c r="H57" s="22" t="inlineStr">
        <is>
          <t>sprint-3/fe-khai</t>
        </is>
      </c>
      <c r="I57" s="22" t="inlineStr">
        <is>
          <t>20/10/2026</t>
        </is>
      </c>
      <c r="J57" s="22" t="inlineStr">
        <is>
          <t>02/11/2026</t>
        </is>
      </c>
      <c r="K57" s="22" t="inlineStr">
        <is>
          <t>To Do</t>
        </is>
      </c>
      <c r="L57" s="23" t="n"/>
    </row>
    <row r="58" ht="73.5" customHeight="1" s="18">
      <c r="A58" s="22" t="inlineStr">
        <is>
          <t>S3-54</t>
        </is>
      </c>
      <c r="B58" s="22" t="inlineStr">
        <is>
          <t>UC-PAY-12</t>
        </is>
      </c>
      <c r="C58" s="23" t="inlineStr">
        <is>
          <t>BE – Thiếu tiền – yêu cầu hội viên chuyển bù (màn 15, 18): hoá đơn giữ trạng thái chờ, hiển thị đã nhận X / còn thiếu Y, sinh QR phần còn thiếu (cùng mã hoá đơn) và gửi thông báo; đủ tiền thì PAID, kích hoạt gói và cho xuất hoá đơn.</t>
        </is>
      </c>
      <c r="D58" s="24" t="inlineStr">
        <is>
          <t>BE</t>
        </is>
      </c>
      <c r="E58" s="22" t="inlineStr">
        <is>
          <t>Nhanh</t>
        </is>
      </c>
      <c r="F58" s="22" t="inlineStr">
        <is>
          <t>Complex</t>
        </is>
      </c>
      <c r="G58" s="23" t="inlineStr">
        <is>
          <t>BR-PAY-16: số đã nhận cộng dồn từ các payment của hoá đơn; chỉ PAID khi tổng nhận = số hoá đơn. Hạn chuyển bù = PAYMENT_TOPUP_DEADLINE_HOURS (system_settings, mặc định 48 giờ); quá hạn thì phiếu chuyển Manager quyết định hoàn số đã nhận. Hoá đơn PDF chỉ xuất khi đã PAID (UC-PAY-07).</t>
        </is>
      </c>
      <c r="H58" s="22" t="inlineStr">
        <is>
          <t>sprint-3/be-nhanh</t>
        </is>
      </c>
      <c r="I58" s="22" t="inlineStr">
        <is>
          <t>20/10/2026</t>
        </is>
      </c>
      <c r="J58" s="22" t="inlineStr">
        <is>
          <t>02/11/2026</t>
        </is>
      </c>
      <c r="K58" s="22" t="inlineStr">
        <is>
          <t>Review</t>
        </is>
      </c>
      <c r="L58" s="23" t="inlineStr">
        <is>
          <t>BE xong 14/10/2026 trên sprint-3/be-nhanh, 143 test BE pass; chờ review/merge</t>
        </is>
      </c>
    </row>
    <row r="59" ht="73.5" customHeight="1" s="18">
      <c r="A59" s="22" t="inlineStr">
        <is>
          <t>S3-55</t>
        </is>
      </c>
      <c r="B59" s="22" t="inlineStr">
        <is>
          <t>UC-PAY-12</t>
        </is>
      </c>
      <c r="C59" s="23" t="inlineStr">
        <is>
          <t>FE – Thiếu tiền – yêu cầu hội viên chuyển bù (màn 15, 18): hoá đơn giữ trạng thái chờ, hiển thị đã nhận X / còn thiếu Y, sinh QR phần còn thiếu (cùng mã hoá đơn) và gửi thông báo; đủ tiền thì PAID, kích hoạt gói và cho xuất hoá đơn.</t>
        </is>
      </c>
      <c r="D59" s="24" t="inlineStr">
        <is>
          <t>FE</t>
        </is>
      </c>
      <c r="E59" s="22" t="inlineStr">
        <is>
          <t>Khôi</t>
        </is>
      </c>
      <c r="F59" s="22" t="inlineStr">
        <is>
          <t>Complex</t>
        </is>
      </c>
      <c r="G59" s="23" t="inlineStr">
        <is>
          <t>BR-PAY-16: số đã nhận cộng dồn từ các payment của hoá đơn; chỉ PAID khi tổng nhận = số hoá đơn. Hạn chuyển bù = PAYMENT_TOPUP_DEADLINE_HOURS (system_settings, mặc định 48 giờ); quá hạn thì phiếu chuyển Manager quyết định hoàn số đã nhận. Hoá đơn PDF chỉ xuất khi đã PAID (UC-PAY-07).</t>
        </is>
      </c>
      <c r="H59" s="22" t="inlineStr">
        <is>
          <t>sprint-3/fe-khoi</t>
        </is>
      </c>
      <c r="I59" s="22" t="inlineStr">
        <is>
          <t>20/10/2026</t>
        </is>
      </c>
      <c r="J59" s="22" t="inlineStr">
        <is>
          <t>02/11/2026</t>
        </is>
      </c>
      <c r="K59" s="22" t="inlineStr">
        <is>
          <t>Review</t>
        </is>
      </c>
      <c r="L59" s="23" t="n"/>
    </row>
    <row r="60" ht="73.5" customHeight="1" s="18">
      <c r="A60" s="22" t="inlineStr">
        <is>
          <t>S3-56</t>
        </is>
      </c>
      <c r="B60" s="22" t="inlineStr">
        <is>
          <t>UC-PAY-11</t>
        </is>
      </c>
      <c r="C60" s="23" t="inlineStr">
        <is>
          <t>BE – Thừa tiền – xác nhận và xử lý phần thừa (màn S29): Manager xác nhận hoá đơn PAID, hệ thống tạo khoản cần hoàn phần thừa; Manager liên hệ hội viên rồi chọn hoàn phần thừa hoặc dùng phần thừa cho lần gia hạn kế tiếp nếu hội viên đồng ý.</t>
        </is>
      </c>
      <c r="D60" s="24" t="inlineStr">
        <is>
          <t>BE</t>
        </is>
      </c>
      <c r="E60" s="22" t="inlineStr">
        <is>
          <t>Nhanh</t>
        </is>
      </c>
      <c r="F60" s="22" t="inlineStr">
        <is>
          <t>Medium</t>
        </is>
      </c>
      <c r="G60" s="23" t="inlineStr">
        <is>
          <t>BR-PAY-17: phần thừa không tự cộng thành ngày tập; phải có quyết định của Manager và ghi lại ý kiến hội viên. Hoàn phần thừa không đổi hoá đơn sang REFUNDED (UC-PAY-09 A1); mã tham chiếu chuyển trả bắt buộc khi đóng phiếu.</t>
        </is>
      </c>
      <c r="H60" s="22" t="inlineStr">
        <is>
          <t>sprint-3/be-nhanh</t>
        </is>
      </c>
      <c r="I60" s="22" t="inlineStr">
        <is>
          <t>20/10/2026</t>
        </is>
      </c>
      <c r="J60" s="22" t="inlineStr">
        <is>
          <t>02/11/2026</t>
        </is>
      </c>
      <c r="K60" s="22" t="inlineStr">
        <is>
          <t>Review</t>
        </is>
      </c>
      <c r="L60" s="23" t="inlineStr">
        <is>
          <t>BE xong 14/10/2026 trên sprint-3/be-nhanh, 143 test BE pass; chờ review/merge</t>
        </is>
      </c>
    </row>
    <row r="61" ht="73.5" customHeight="1" s="18">
      <c r="A61" s="22" t="inlineStr">
        <is>
          <t>S3-57</t>
        </is>
      </c>
      <c r="B61" s="22" t="inlineStr">
        <is>
          <t>UC-PAY-11</t>
        </is>
      </c>
      <c r="C61" s="23" t="inlineStr">
        <is>
          <t>FE – Thừa tiền – xác nhận và xử lý phần thừa (màn S29): Manager xác nhận hoá đơn PAID, hệ thống tạo khoản cần hoàn phần thừa; Manager liên hệ hội viên rồi chọn hoàn phần thừa hoặc dùng phần thừa cho lần gia hạn kế tiếp nếu hội viên đồng ý.</t>
        </is>
      </c>
      <c r="D61" s="24" t="inlineStr">
        <is>
          <t>FE</t>
        </is>
      </c>
      <c r="E61" s="22" t="inlineStr">
        <is>
          <t>Khải</t>
        </is>
      </c>
      <c r="F61" s="22" t="inlineStr">
        <is>
          <t>Medium</t>
        </is>
      </c>
      <c r="G61" s="23" t="inlineStr">
        <is>
          <t>BR-PAY-17: phần thừa không tự cộng thành ngày tập; phải có quyết định của Manager và ghi lại ý kiến hội viên. Hoàn phần thừa không đổi hoá đơn sang REFUNDED (UC-PAY-09 A1); mã tham chiếu chuyển trả bắt buộc khi đóng phiếu.</t>
        </is>
      </c>
      <c r="H61" s="22" t="inlineStr">
        <is>
          <t>sprint-3/fe-khai</t>
        </is>
      </c>
      <c r="I61" s="22" t="inlineStr">
        <is>
          <t>20/10/2026</t>
        </is>
      </c>
      <c r="J61" s="22" t="inlineStr">
        <is>
          <t>02/11/2026</t>
        </is>
      </c>
      <c r="K61" s="22" t="inlineStr">
        <is>
          <t>To Do</t>
        </is>
      </c>
      <c r="L61" s="23" t="n"/>
    </row>
    <row r="62" ht="87" customHeight="1" s="18">
      <c r="A62" s="22" t="inlineStr">
        <is>
          <t>S3-58</t>
        </is>
      </c>
      <c r="B62" s="22" t="inlineStr">
        <is>
          <t>UC-PAY-13</t>
        </is>
      </c>
      <c r="C62" s="23" t="inlineStr">
        <is>
          <t>BE – Cảnh báo chuyển 2 lần cho một mã (màn S29, header): webhook thấy hoá đơn đã PAID mà lại nhận thêm giao dịch mới cùng mã ⇒ tạo phiếu DUPLICATE_TRANSFER mức cảnh báo cao, hiện badge đỏ cho Manager và báo hội viên "trung tâm đã nhận 2 lần và sẽ liên hệ".</t>
        </is>
      </c>
      <c r="D62" s="24" t="inlineStr">
        <is>
          <t>BE</t>
        </is>
      </c>
      <c r="E62" s="22" t="inlineStr">
        <is>
          <t>Nhanh</t>
        </is>
      </c>
      <c r="F62" s="22" t="inlineStr">
        <is>
          <t>Medium</t>
        </is>
      </c>
      <c r="G62" s="23" t="inlineStr">
        <is>
          <t>BR-PAY-18: không cộng thêm thời hạn gói, không tự hoàn. Manager phải liên hệ hội viên (ghi ở #92) rồi chọn: hoàn khoản chuyển lặp, hoặc map khoản đó sang một hoá đơn gia hạn mới nếu hội viên muốn gia hạn. Phiếu chưa xử lý quá 24 giờ được nhắc lại trên dashboard.</t>
        </is>
      </c>
      <c r="H62" s="22" t="inlineStr">
        <is>
          <t>sprint-3/be-nhanh</t>
        </is>
      </c>
      <c r="I62" s="22" t="inlineStr">
        <is>
          <t>20/10/2026</t>
        </is>
      </c>
      <c r="J62" s="22" t="inlineStr">
        <is>
          <t>02/11/2026</t>
        </is>
      </c>
      <c r="K62" s="22" t="inlineStr">
        <is>
          <t>Review</t>
        </is>
      </c>
      <c r="L62" s="23" t="inlineStr">
        <is>
          <t>BE xong 14/10/2026 trên sprint-3/be-nhanh, 143 test BE pass; chờ review/merge</t>
        </is>
      </c>
    </row>
    <row r="63" ht="87" customHeight="1" s="18">
      <c r="A63" s="22" t="inlineStr">
        <is>
          <t>S3-59</t>
        </is>
      </c>
      <c r="B63" s="22" t="inlineStr">
        <is>
          <t>UC-PAY-13</t>
        </is>
      </c>
      <c r="C63" s="23" t="inlineStr">
        <is>
          <t>FE – Cảnh báo chuyển 2 lần cho một mã (màn S29, header): webhook thấy hoá đơn đã PAID mà lại nhận thêm giao dịch mới cùng mã ⇒ tạo phiếu DUPLICATE_TRANSFER mức cảnh báo cao, hiện badge đỏ cho Manager và báo hội viên "trung tâm đã nhận 2 lần và sẽ liên hệ".</t>
        </is>
      </c>
      <c r="D63" s="24" t="inlineStr">
        <is>
          <t>FE</t>
        </is>
      </c>
      <c r="E63" s="22" t="inlineStr">
        <is>
          <t>Khải</t>
        </is>
      </c>
      <c r="F63" s="22" t="inlineStr">
        <is>
          <t>Medium</t>
        </is>
      </c>
      <c r="G63" s="23" t="inlineStr">
        <is>
          <t>BR-PAY-18: không cộng thêm thời hạn gói, không tự hoàn. Manager phải liên hệ hội viên (ghi ở #92) rồi chọn: hoàn khoản chuyển lặp, hoặc map khoản đó sang một hoá đơn gia hạn mới nếu hội viên muốn gia hạn. Phiếu chưa xử lý quá 24 giờ được nhắc lại trên dashboard.</t>
        </is>
      </c>
      <c r="H63" s="22" t="inlineStr">
        <is>
          <t>sprint-3/fe-khai</t>
        </is>
      </c>
      <c r="I63" s="22" t="inlineStr">
        <is>
          <t>20/10/2026</t>
        </is>
      </c>
      <c r="J63" s="22" t="inlineStr">
        <is>
          <t>02/11/2026</t>
        </is>
      </c>
      <c r="K63" s="22" t="inlineStr">
        <is>
          <t>To Do</t>
        </is>
      </c>
      <c r="L63" s="23" t="n"/>
    </row>
    <row r="64" ht="73.5" customHeight="1" s="18">
      <c r="A64" s="22" t="inlineStr">
        <is>
          <t>S3-60</t>
        </is>
      </c>
      <c r="B64" s="22" t="inlineStr">
        <is>
          <t>UC-PAY-13</t>
        </is>
      </c>
      <c r="C64" s="23" t="inlineStr">
        <is>
          <t>BE – Nhật ký liên hệ hội viên trong phiếu đối soát (màn S29): mỗi phiếu có dòng thời gian ghi kênh liên hệ (điện thoại/Zalo/email/tại quầy), nội dung, kết quả và trạng thái OPEN → WAITING_MEMBER → RESOLVED.</t>
        </is>
      </c>
      <c r="D64" s="24" t="inlineStr">
        <is>
          <t>BE</t>
        </is>
      </c>
      <c r="E64" s="22" t="inlineStr">
        <is>
          <t>Nhanh</t>
        </is>
      </c>
      <c r="F64" s="22" t="inlineStr">
        <is>
          <t>Medium</t>
        </is>
      </c>
      <c r="G64" s="23" t="inlineStr">
        <is>
          <t>BR-PAY-19: không đóng phiếu DUPLICATE_TRANSFER, OVERPAID hoặc MEMBER_CLAIM khi chưa có ít nhất một lần liên hệ được ghi lại. Ghi chú chỉ thêm, không sửa/xoá (giữ lịch sử theo BR-0.1).</t>
        </is>
      </c>
      <c r="H64" s="22" t="inlineStr">
        <is>
          <t>sprint-3/be-nhanh</t>
        </is>
      </c>
      <c r="I64" s="22" t="inlineStr">
        <is>
          <t>20/10/2026</t>
        </is>
      </c>
      <c r="J64" s="22" t="inlineStr">
        <is>
          <t>02/11/2026</t>
        </is>
      </c>
      <c r="K64" s="22" t="inlineStr">
        <is>
          <t>Review</t>
        </is>
      </c>
      <c r="L64" s="23" t="inlineStr">
        <is>
          <t>BE xong 14/10/2026 trên sprint-3/be-nhanh, 143 test BE pass; chờ review/merge</t>
        </is>
      </c>
    </row>
    <row r="65" ht="73.5" customHeight="1" s="18">
      <c r="A65" s="22" t="inlineStr">
        <is>
          <t>S3-61</t>
        </is>
      </c>
      <c r="B65" s="22" t="inlineStr">
        <is>
          <t>UC-PAY-13</t>
        </is>
      </c>
      <c r="C65" s="23" t="inlineStr">
        <is>
          <t>FE – Nhật ký liên hệ hội viên trong phiếu đối soát (màn S29): mỗi phiếu có dòng thời gian ghi kênh liên hệ (điện thoại/Zalo/email/tại quầy), nội dung, kết quả và trạng thái OPEN → WAITING_MEMBER → RESOLVED.</t>
        </is>
      </c>
      <c r="D65" s="24" t="inlineStr">
        <is>
          <t>FE</t>
        </is>
      </c>
      <c r="E65" s="22" t="inlineStr">
        <is>
          <t>Khải</t>
        </is>
      </c>
      <c r="F65" s="22" t="inlineStr">
        <is>
          <t>Medium</t>
        </is>
      </c>
      <c r="G65" s="23" t="inlineStr">
        <is>
          <t>BR-PAY-19: không đóng phiếu DUPLICATE_TRANSFER, OVERPAID hoặc MEMBER_CLAIM khi chưa có ít nhất một lần liên hệ được ghi lại. Ghi chú chỉ thêm, không sửa/xoá (giữ lịch sử theo BR-0.1).</t>
        </is>
      </c>
      <c r="H65" s="22" t="inlineStr">
        <is>
          <t>sprint-3/fe-khai</t>
        </is>
      </c>
      <c r="I65" s="22" t="inlineStr">
        <is>
          <t>20/10/2026</t>
        </is>
      </c>
      <c r="J65" s="22" t="inlineStr">
        <is>
          <t>02/11/2026</t>
        </is>
      </c>
      <c r="K65" s="22" t="inlineStr">
        <is>
          <t>To Do</t>
        </is>
      </c>
      <c r="L65" s="23" t="n"/>
    </row>
    <row r="66" ht="87" customHeight="1" s="18">
      <c r="A66" s="22" t="inlineStr">
        <is>
          <t>S3-62</t>
        </is>
      </c>
      <c r="B66" s="22" t="inlineStr">
        <is>
          <t>UC-PAY-14</t>
        </is>
      </c>
      <c r="C66" s="23" t="inlineStr">
        <is>
          <t>BE – Hội viên báo "Tôi đã chuyển khoản" (màn 15, 18): khi đã chuyển nhưng hệ thống chưa ghi nhận (lỗi mạng, webhook chậm, hoá đơn đã hết hạn), hội viên nhập thời điểm, số tiền, ngân hàng và mã giao dịch ⇒ tạo phiếu MEMBER_CLAIM để Manager đối chiếu.</t>
        </is>
      </c>
      <c r="D66" s="24" t="inlineStr">
        <is>
          <t>BE</t>
        </is>
      </c>
      <c r="E66" s="22" t="inlineStr">
        <is>
          <t>Nhanh</t>
        </is>
      </c>
      <c r="F66" s="22" t="inlineStr">
        <is>
          <t>Medium</t>
        </is>
      </c>
      <c r="G66" s="23" t="inlineStr">
        <is>
          <t>BR-PAY-20: báo đã chuyển không làm hoá đơn PAID. Manager đối chiếu sao kê/SePay rồi map (#88) hoặc từ chối kèm lý do. Mỗi hoá đơn chỉ có một phiếu MEMBER_CLAIM đang mở; FE mất mạng thì giữ trạng thái "đang kết nối lại", không tạo hoá đơn mới (UC-PAY-03 E1).</t>
        </is>
      </c>
      <c r="H66" s="22" t="inlineStr">
        <is>
          <t>sprint-3/be-nhanh</t>
        </is>
      </c>
      <c r="I66" s="22" t="inlineStr">
        <is>
          <t>20/10/2026</t>
        </is>
      </c>
      <c r="J66" s="22" t="inlineStr">
        <is>
          <t>02/11/2026</t>
        </is>
      </c>
      <c r="K66" s="22" t="inlineStr">
        <is>
          <t>Review</t>
        </is>
      </c>
      <c r="L66" s="23" t="inlineStr">
        <is>
          <t>BE xong 14/10/2026 trên sprint-3/be-nhanh, 143 test BE pass; chờ review/merge</t>
        </is>
      </c>
    </row>
    <row r="67" ht="87" customHeight="1" s="18">
      <c r="A67" s="22" t="inlineStr">
        <is>
          <t>S3-63</t>
        </is>
      </c>
      <c r="B67" s="22" t="inlineStr">
        <is>
          <t>UC-PAY-14</t>
        </is>
      </c>
      <c r="C67" s="23" t="inlineStr">
        <is>
          <t>FE – Hội viên báo "Tôi đã chuyển khoản" (màn 15, 18): khi đã chuyển nhưng hệ thống chưa ghi nhận (lỗi mạng, webhook chậm, hoá đơn đã hết hạn), hội viên nhập thời điểm, số tiền, ngân hàng và mã giao dịch ⇒ tạo phiếu MEMBER_CLAIM để Manager đối chiếu.</t>
        </is>
      </c>
      <c r="D67" s="24" t="inlineStr">
        <is>
          <t>FE</t>
        </is>
      </c>
      <c r="E67" s="22" t="inlineStr">
        <is>
          <t>Khôi</t>
        </is>
      </c>
      <c r="F67" s="22" t="inlineStr">
        <is>
          <t>Medium</t>
        </is>
      </c>
      <c r="G67" s="23" t="inlineStr">
        <is>
          <t>BR-PAY-20: báo đã chuyển không làm hoá đơn PAID. Manager đối chiếu sao kê/SePay rồi map (#88) hoặc từ chối kèm lý do. Mỗi hoá đơn chỉ có một phiếu MEMBER_CLAIM đang mở; FE mất mạng thì giữ trạng thái "đang kết nối lại", không tạo hoá đơn mới (UC-PAY-03 E1).</t>
        </is>
      </c>
      <c r="H67" s="22" t="inlineStr">
        <is>
          <t>sprint-3/fe-khoi</t>
        </is>
      </c>
      <c r="I67" s="22" t="inlineStr">
        <is>
          <t>20/10/2026</t>
        </is>
      </c>
      <c r="J67" s="22" t="inlineStr">
        <is>
          <t>02/11/2026</t>
        </is>
      </c>
      <c r="K67" s="22" t="inlineStr">
        <is>
          <t>Review</t>
        </is>
      </c>
      <c r="L67" s="23" t="n"/>
    </row>
    <row r="68" ht="73.5" customHeight="1" s="18">
      <c r="A68" s="22" t="inlineStr">
        <is>
          <t>S3-64</t>
        </is>
      </c>
      <c r="B68" s="22" t="inlineStr">
        <is>
          <t>UC-PAY-14</t>
        </is>
      </c>
      <c r="C68" s="23" t="inlineStr">
        <is>
          <t>BE – Đồng bộ lại giao dịch bị lỡ webhook (màn S29): Manager bấm "Đồng bộ từ SePay" theo khoảng thời gian; hệ thống lấy danh sách giao dịch tiền vào qua API SePay và xử lý những giao dịch chưa có trong nhật ký như một webhook.</t>
        </is>
      </c>
      <c r="D68" s="24" t="inlineStr">
        <is>
          <t>BE</t>
        </is>
      </c>
      <c r="E68" s="22" t="inlineStr">
        <is>
          <t>Nhanh</t>
        </is>
      </c>
      <c r="F68" s="22" t="inlineStr">
        <is>
          <t>Medium</t>
        </is>
      </c>
      <c r="G68" s="23" t="inlineStr">
        <is>
          <t>Idempotent theo id giao dịch SePay (BR-PAY-04) nên đồng bộ nhiều lần không cộng đôi. Token API SePay ở .env, không ghi vào log. Làm nếu kịp; nếu chưa có thì Manager đối chiếu thủ công qua #93.</t>
        </is>
      </c>
      <c r="H68" s="22" t="inlineStr">
        <is>
          <t>sprint-3/be-nhanh</t>
        </is>
      </c>
      <c r="I68" s="22" t="inlineStr">
        <is>
          <t>20/10/2026</t>
        </is>
      </c>
      <c r="J68" s="22" t="inlineStr">
        <is>
          <t>02/11/2026</t>
        </is>
      </c>
      <c r="K68" s="22" t="inlineStr">
        <is>
          <t>Review</t>
        </is>
      </c>
      <c r="L68" s="23" t="inlineStr">
        <is>
          <t>BE xong 14/10/2026 trên sprint-3/be-nhanh, 143 test BE pass; chờ review/merge</t>
        </is>
      </c>
    </row>
    <row r="69" ht="87" customHeight="1" s="18">
      <c r="A69" s="22" t="inlineStr">
        <is>
          <t>S3-65</t>
        </is>
      </c>
      <c r="B69" s="22" t="inlineStr">
        <is>
          <t>UC-PAY-07</t>
        </is>
      </c>
      <c r="C69" s="23" t="inlineStr">
        <is>
          <t>BE – Mẫu hoá đơn PDF chuẩn (màn 16, S30): thiết kế lại hoá đơn in/PDF gồm logo và thông tin trung tâm, mã hoá đơn, hội viên, gói và thời hạn, số tiền bằng số và bằng chữ, các lần thanh toán (kể cả chuyển bù), kênh, người thu, trạng thái; nút Tải PDF và In.</t>
        </is>
      </c>
      <c r="D69" s="24" t="inlineStr">
        <is>
          <t>BE</t>
        </is>
      </c>
      <c r="E69" s="22" t="inlineStr">
        <is>
          <t>Nhanh</t>
        </is>
      </c>
      <c r="F69" s="22" t="inlineStr">
        <is>
          <t>Medium</t>
        </is>
      </c>
      <c r="G69" s="23" t="inlineStr">
        <is>
          <t>UC-PAY-07: chỉ hoá đơn PAID mới xuất; số tiền lấy từ bản ghi gốc, thông tin trung tâm lấy từ cấu hình. Khổ A5 dọc, in đen trắng vẫn đọc được; hoá đơn có chuyển bù liệt kê đủ từng lần nhận tiền. Rà soát UI phát hiện hội viên chưa có quyền tải biên lai của mình: Nhanh thêm quyền invoice.export_own (BE), Khải làm giao diện.</t>
        </is>
      </c>
      <c r="H69" s="22" t="inlineStr">
        <is>
          <t>sprint-3/be-nhanh</t>
        </is>
      </c>
      <c r="I69" s="22" t="inlineStr">
        <is>
          <t>20/10/2026</t>
        </is>
      </c>
      <c r="J69" s="22" t="inlineStr">
        <is>
          <t>02/11/2026</t>
        </is>
      </c>
      <c r="K69" s="22" t="inlineStr">
        <is>
          <t>Review</t>
        </is>
      </c>
      <c r="L69" s="23" t="inlineStr">
        <is>
          <t>BE xong 14/10/2026 trên sprint-3/be-nhanh, 143 test BE pass; chờ review/merge #95: BE đã cho hội viên tải biên lai của chính mình (GET /invoices/:id/receipt, quyền invoice.read_own), FE chỉ cần mở nút.</t>
        </is>
      </c>
    </row>
    <row r="70" ht="87" customHeight="1" s="18">
      <c r="A70" s="22" t="inlineStr">
        <is>
          <t>S3-66</t>
        </is>
      </c>
      <c r="B70" s="22" t="inlineStr">
        <is>
          <t>UC-PAY-07</t>
        </is>
      </c>
      <c r="C70" s="23" t="inlineStr">
        <is>
          <t>FE – Mẫu hoá đơn PDF chuẩn (màn 16, S30): thiết kế lại hoá đơn in/PDF gồm logo và thông tin trung tâm, mã hoá đơn, hội viên, gói và thời hạn, số tiền bằng số và bằng chữ, các lần thanh toán (kể cả chuyển bù), kênh, người thu, trạng thái; nút Tải PDF và In.</t>
        </is>
      </c>
      <c r="D70" s="24" t="inlineStr">
        <is>
          <t>FE</t>
        </is>
      </c>
      <c r="E70" s="22" t="inlineStr">
        <is>
          <t>Khải</t>
        </is>
      </c>
      <c r="F70" s="22" t="inlineStr">
        <is>
          <t>Medium</t>
        </is>
      </c>
      <c r="G70" s="23" t="inlineStr">
        <is>
          <t>UC-PAY-07: chỉ hoá đơn PAID mới xuất; số tiền lấy từ bản ghi gốc, thông tin trung tâm lấy từ cấu hình. Khổ A5 dọc, in đen trắng vẫn đọc được; hoá đơn có chuyển bù liệt kê đủ từng lần nhận tiền. Rà soát UI phát hiện hội viên chưa có quyền tải biên lai của mình: Nhanh thêm quyền invoice.export_own (BE), Khải làm giao diện.</t>
        </is>
      </c>
      <c r="H70" s="22" t="inlineStr">
        <is>
          <t>sprint-3/fe-khai</t>
        </is>
      </c>
      <c r="I70" s="22" t="inlineStr">
        <is>
          <t>20/10/2026</t>
        </is>
      </c>
      <c r="J70" s="22" t="inlineStr">
        <is>
          <t>02/11/2026</t>
        </is>
      </c>
      <c r="K70" s="22" t="inlineStr">
        <is>
          <t>To Do</t>
        </is>
      </c>
      <c r="L70" s="23" t="n"/>
    </row>
    <row r="71" ht="73.5" customHeight="1" s="18">
      <c r="A71" s="22" t="inlineStr">
        <is>
          <t>S3-67</t>
        </is>
      </c>
      <c r="B71" s="22" t="inlineStr">
        <is>
          <t>UC-PAY-12</t>
        </is>
      </c>
      <c r="C71" s="23" t="inlineStr">
        <is>
          <t>BE – Thông báo kết quả đối soát cho hội viên: gửi in-app và email khi giao dịch được ghi nhận, khi cần chuyển bù (kèm số còn thiếu và hạn), khi có khoản sẽ được hoàn và khi phiếu báo đã chuyển bị từ chối.</t>
        </is>
      </c>
      <c r="D71" s="24" t="inlineStr">
        <is>
          <t>BE</t>
        </is>
      </c>
      <c r="E71" s="22" t="inlineStr">
        <is>
          <t>Nhanh</t>
        </is>
      </c>
      <c r="F71" s="22" t="inlineStr">
        <is>
          <t>Simple</t>
        </is>
      </c>
      <c r="G71" s="23" t="inlineStr">
        <is>
          <t>Dùng notification.service có dedupeKey để không gửi trùng; lỗi gửi mail không làm hỏng kết quả đối soát (gửi sau commit như BR-PAY-09).</t>
        </is>
      </c>
      <c r="H71" s="22" t="inlineStr">
        <is>
          <t>sprint-3/be-nhanh</t>
        </is>
      </c>
      <c r="I71" s="22" t="inlineStr">
        <is>
          <t>20/10/2026</t>
        </is>
      </c>
      <c r="J71" s="22" t="inlineStr">
        <is>
          <t>02/11/2026</t>
        </is>
      </c>
      <c r="K71" s="22" t="inlineStr">
        <is>
          <t>Review</t>
        </is>
      </c>
      <c r="L71" s="23" t="inlineStr">
        <is>
          <t>BE xong 14/10/2026 trên sprint-3/be-nhanh, 143 test BE pass; chờ review/merge</t>
        </is>
      </c>
    </row>
    <row r="72" ht="73.5" customHeight="1" s="18">
      <c r="A72" s="22" t="inlineStr">
        <is>
          <t>S3-68</t>
        </is>
      </c>
      <c r="B72" s="22" t="inlineStr">
        <is>
          <t>Kiểm thử</t>
        </is>
      </c>
      <c r="C72" s="23" t="inlineStr">
        <is>
          <t>Test – Test E2E đối soát SePay: giả lập webhook sai mã → map; chuyển thiếu → chuyển bù → PAID → in PDF; chuyển thừa → hoàn phần thừa; chuyển 2 lần → cảnh báo → liên hệ → hoàn; báo đã chuyển → Manager duyệt.</t>
        </is>
      </c>
      <c r="D72" s="24" t="inlineStr">
        <is>
          <t>Test</t>
        </is>
      </c>
      <c r="E72" s="22" t="inlineStr">
        <is>
          <t>Khôi</t>
        </is>
      </c>
      <c r="F72" s="22" t="inlineStr">
        <is>
          <t>Medium</t>
        </is>
      </c>
      <c r="G72" s="23" t="inlineStr">
        <is>
          <t>Gọi webhook bằng API key test; chạy desktop 1366×900 như các E2E hiện có; ảnh đưa vào báo cáo nghiệm thu SePay.</t>
        </is>
      </c>
      <c r="H72" s="22" t="inlineStr">
        <is>
          <t>sprint-3/fe-khoi</t>
        </is>
      </c>
      <c r="I72" s="22" t="inlineStr">
        <is>
          <t>20/10/2026</t>
        </is>
      </c>
      <c r="J72" s="22" t="inlineStr">
        <is>
          <t>02/11/2026</t>
        </is>
      </c>
      <c r="K72" s="22" t="inlineStr">
        <is>
          <t>Review</t>
        </is>
      </c>
      <c r="L72" s="23" t="n"/>
    </row>
    <row r="73" ht="60" customHeight="1" s="18">
      <c r="A73" s="22" t="inlineStr">
        <is>
          <t>S3-69</t>
        </is>
      </c>
      <c r="B73" s="22" t="inlineStr">
        <is>
          <t>UC-UM-11</t>
        </is>
      </c>
      <c r="C73" s="23" t="inlineStr">
        <is>
          <t>BE – Tạm khoá đăng nhập khi nhập sai mật khẩu nhiều lần (màn 1): sai liên tiếp N lần thì khoá đăng nhập M phút, màn đăng nhập báo thời gian còn lại và gợi ý quên mật khẩu.</t>
        </is>
      </c>
      <c r="D73" s="24" t="inlineStr">
        <is>
          <t>BE</t>
        </is>
      </c>
      <c r="E73" s="22" t="inlineStr">
        <is>
          <t>Khôi</t>
        </is>
      </c>
      <c r="F73" s="22" t="inlineStr">
        <is>
          <t>Medium</t>
        </is>
      </c>
      <c r="G73" s="23" t="inlineStr">
        <is>
          <t>BR-1.14: N = LOGIN_MAX_FAILED_ATTEMPTS (mặc định 5), M = LOGIN_LOCK_MINUTES (mặc định 15) trong system_settings. Đăng nhập đúng thì đếm lại từ 0; đặt lại mật khẩu thành công thì mở khoá. Thông báo không tiết lộ tài khoản có tồn tại. Nhanh review phần BE.</t>
        </is>
      </c>
      <c r="H73" s="22" t="inlineStr">
        <is>
          <t>sprint-3/fe-khoi</t>
        </is>
      </c>
      <c r="I73" s="22" t="inlineStr">
        <is>
          <t>20/10/2026</t>
        </is>
      </c>
      <c r="J73" s="22" t="inlineStr">
        <is>
          <t>02/11/2026</t>
        </is>
      </c>
      <c r="K73" s="22" t="inlineStr">
        <is>
          <t>Review</t>
        </is>
      </c>
      <c r="L73" s="23" t="inlineStr">
        <is>
          <t>Full-stack để thành viên FE làm thêm BE; người review BE: Nhanh.</t>
        </is>
      </c>
    </row>
    <row r="74" ht="60" customHeight="1" s="18">
      <c r="A74" s="22" t="inlineStr">
        <is>
          <t>S3-70</t>
        </is>
      </c>
      <c r="B74" s="22" t="inlineStr">
        <is>
          <t>UC-UM-11</t>
        </is>
      </c>
      <c r="C74" s="23" t="inlineStr">
        <is>
          <t>FE – Tạm khoá đăng nhập khi nhập sai mật khẩu nhiều lần (màn 1): sai liên tiếp N lần thì khoá đăng nhập M phút, màn đăng nhập báo thời gian còn lại và gợi ý quên mật khẩu.</t>
        </is>
      </c>
      <c r="D74" s="24" t="inlineStr">
        <is>
          <t>FE</t>
        </is>
      </c>
      <c r="E74" s="22" t="inlineStr">
        <is>
          <t>Khôi</t>
        </is>
      </c>
      <c r="F74" s="22" t="inlineStr">
        <is>
          <t>Medium</t>
        </is>
      </c>
      <c r="G74" s="23" t="inlineStr">
        <is>
          <t>BR-1.14: N = LOGIN_MAX_FAILED_ATTEMPTS (mặc định 5), M = LOGIN_LOCK_MINUTES (mặc định 15) trong system_settings. Đăng nhập đúng thì đếm lại từ 0; đặt lại mật khẩu thành công thì mở khoá. Thông báo không tiết lộ tài khoản có tồn tại. Nhanh review phần BE.</t>
        </is>
      </c>
      <c r="H74" s="22" t="inlineStr">
        <is>
          <t>sprint-3/fe-khoi</t>
        </is>
      </c>
      <c r="I74" s="22" t="inlineStr">
        <is>
          <t>20/10/2026</t>
        </is>
      </c>
      <c r="J74" s="22" t="inlineStr">
        <is>
          <t>02/11/2026</t>
        </is>
      </c>
      <c r="K74" s="22" t="inlineStr">
        <is>
          <t>Review</t>
        </is>
      </c>
      <c r="L74" s="23" t="n"/>
    </row>
    <row r="75" ht="73.5" customHeight="1" s="18">
      <c r="A75" s="22" t="inlineStr">
        <is>
          <t>S3-71</t>
        </is>
      </c>
      <c r="B75" s="22" t="inlineStr">
        <is>
          <t>UC-UM-05</t>
        </is>
      </c>
      <c r="C75" s="23" t="inlineStr">
        <is>
          <t>BE – Đăng ký tại quầy bị trùng SĐT/email (màn 5): thay vì chỉ báo lỗi, hiện thẻ hồ sơ đang có (tên, SĐT che bớt, trạng thái, gói) và nút "Mở hồ sơ này" để lễ tân bán gói tiếp; hồ sơ bị khoá thì hướng dẫn liên hệ quản lý.</t>
        </is>
      </c>
      <c r="D75" s="24" t="inlineStr">
        <is>
          <t>BE</t>
        </is>
      </c>
      <c r="E75" s="22" t="inlineStr">
        <is>
          <t>Khải</t>
        </is>
      </c>
      <c r="F75" s="22" t="inlineStr">
        <is>
          <t>Simple</t>
        </is>
      </c>
      <c r="G75" s="23" t="inlineStr">
        <is>
          <t>BR-1.1/1.10: không tạo hồ sơ trùng. Chỉ trả thông tin hồ sơ trùng cho người có member.read; khách tự đăng ký online vẫn chỉ nhận thông báo chung.</t>
        </is>
      </c>
      <c r="H75" s="22" t="inlineStr">
        <is>
          <t>sprint-3/fe-khai</t>
        </is>
      </c>
      <c r="I75" s="22" t="inlineStr">
        <is>
          <t>20/10/2026</t>
        </is>
      </c>
      <c r="J75" s="22" t="inlineStr">
        <is>
          <t>02/11/2026</t>
        </is>
      </c>
      <c r="K75" s="22" t="inlineStr">
        <is>
          <t>To Do</t>
        </is>
      </c>
      <c r="L75" s="23" t="inlineStr">
        <is>
          <t>Full-stack để thành viên FE làm thêm BE; người review BE: Bảo.</t>
        </is>
      </c>
    </row>
    <row r="76" ht="73.5" customHeight="1" s="18">
      <c r="A76" s="22" t="inlineStr">
        <is>
          <t>S3-72</t>
        </is>
      </c>
      <c r="B76" s="22" t="inlineStr">
        <is>
          <t>UC-UM-05</t>
        </is>
      </c>
      <c r="C76" s="23" t="inlineStr">
        <is>
          <t>FE – Đăng ký tại quầy bị trùng SĐT/email (màn 5): thay vì chỉ báo lỗi, hiện thẻ hồ sơ đang có (tên, SĐT che bớt, trạng thái, gói) và nút "Mở hồ sơ này" để lễ tân bán gói tiếp; hồ sơ bị khoá thì hướng dẫn liên hệ quản lý.</t>
        </is>
      </c>
      <c r="D76" s="24" t="inlineStr">
        <is>
          <t>FE</t>
        </is>
      </c>
      <c r="E76" s="22" t="inlineStr">
        <is>
          <t>Khải</t>
        </is>
      </c>
      <c r="F76" s="22" t="inlineStr">
        <is>
          <t>Simple</t>
        </is>
      </c>
      <c r="G76" s="23" t="inlineStr">
        <is>
          <t>BR-1.1/1.10: không tạo hồ sơ trùng. Chỉ trả thông tin hồ sơ trùng cho người có member.read; khách tự đăng ký online vẫn chỉ nhận thông báo chung.</t>
        </is>
      </c>
      <c r="H76" s="22" t="inlineStr">
        <is>
          <t>sprint-3/fe-khai</t>
        </is>
      </c>
      <c r="I76" s="22" t="inlineStr">
        <is>
          <t>20/10/2026</t>
        </is>
      </c>
      <c r="J76" s="22" t="inlineStr">
        <is>
          <t>02/11/2026</t>
        </is>
      </c>
      <c r="K76" s="22" t="inlineStr">
        <is>
          <t>To Do</t>
        </is>
      </c>
      <c r="L76" s="23" t="n"/>
    </row>
    <row r="77" ht="73.5" customHeight="1" s="18">
      <c r="A77" s="22" t="inlineStr">
        <is>
          <t>S3-73</t>
        </is>
      </c>
      <c r="B77" s="22" t="inlineStr">
        <is>
          <t>UC-UM-09</t>
        </is>
      </c>
      <c r="C77" s="23" t="inlineStr">
        <is>
          <t>BE – Khoá tài khoản đang có lịch (màn 8, S22): khoá hội viên có booking tương lai thì hộp thoại liệt kê các buổi và hỏi huỷ để nhả chỗ; khoá HLV đang dạy lớp mở thì chặn và dẫn sang đổi HLV (#105).</t>
        </is>
      </c>
      <c r="D77" s="24" t="inlineStr">
        <is>
          <t>BE</t>
        </is>
      </c>
      <c r="E77" s="22" t="inlineStr">
        <is>
          <t>Bảo</t>
        </is>
      </c>
      <c r="F77" s="22" t="inlineStr">
        <is>
          <t>Medium</t>
        </is>
      </c>
      <c r="G77" s="23" t="inlineStr">
        <is>
          <t>BR-1.15 và BR-2.13: khoá hội viên thì các booking tương lai chuyển CANCELLED (cancelled_by = Manager), hội viên và người trong danh sách chờ được thông báo. HLV còn lớp OPEN thì trả 409 kèm danh sách lớp.</t>
        </is>
      </c>
      <c r="H77" s="22" t="inlineStr">
        <is>
          <t>sprint-3/be-bao</t>
        </is>
      </c>
      <c r="I77" s="22" t="inlineStr">
        <is>
          <t>20/10/2026</t>
        </is>
      </c>
      <c r="J77" s="22" t="inlineStr">
        <is>
          <t>02/11/2026</t>
        </is>
      </c>
      <c r="K77" s="22" t="inlineStr">
        <is>
          <t>Review</t>
        </is>
      </c>
      <c r="L77" s="23" t="n"/>
    </row>
    <row r="78" ht="73.5" customHeight="1" s="18">
      <c r="A78" s="22" t="inlineStr">
        <is>
          <t>S3-74</t>
        </is>
      </c>
      <c r="B78" s="22" t="inlineStr">
        <is>
          <t>UC-UM-09</t>
        </is>
      </c>
      <c r="C78" s="23" t="inlineStr">
        <is>
          <t>FE – Khoá tài khoản đang có lịch (màn 8, S22): khoá hội viên có booking tương lai thì hộp thoại liệt kê các buổi và hỏi huỷ để nhả chỗ; khoá HLV đang dạy lớp mở thì chặn và dẫn sang đổi HLV (#105).</t>
        </is>
      </c>
      <c r="D78" s="24" t="inlineStr">
        <is>
          <t>FE</t>
        </is>
      </c>
      <c r="E78" s="22" t="inlineStr">
        <is>
          <t>Khôi</t>
        </is>
      </c>
      <c r="F78" s="22" t="inlineStr">
        <is>
          <t>Medium</t>
        </is>
      </c>
      <c r="G78" s="23" t="inlineStr">
        <is>
          <t>BR-1.15 và BR-2.13: khoá hội viên thì các booking tương lai chuyển CANCELLED (cancelled_by = Manager), hội viên và người trong danh sách chờ được thông báo. HLV còn lớp OPEN thì trả 409 kèm danh sách lớp.</t>
        </is>
      </c>
      <c r="H78" s="22" t="inlineStr">
        <is>
          <t>sprint-3/fe-khoi</t>
        </is>
      </c>
      <c r="I78" s="22" t="inlineStr">
        <is>
          <t>20/10/2026</t>
        </is>
      </c>
      <c r="J78" s="22" t="inlineStr">
        <is>
          <t>02/11/2026</t>
        </is>
      </c>
      <c r="K78" s="22" t="inlineStr">
        <is>
          <t>Review</t>
        </is>
      </c>
      <c r="L78" s="23" t="n"/>
    </row>
    <row r="79" ht="73.5" customHeight="1" s="18">
      <c r="A79" s="22" t="inlineStr">
        <is>
          <t>S3-75</t>
        </is>
      </c>
      <c r="B79" s="22" t="inlineStr">
        <is>
          <t>UC-UM-20</t>
        </is>
      </c>
      <c r="C79" s="23" t="inlineStr">
        <is>
          <t>BE – Bảo lưu gói tập (màn 4, S22): hội viên hoặc lễ tân tạm dừng gói đang hiệu lực từ ngày A đến ngày B; trong thời gian bảo lưu không đăng ký lớp mới, hết bảo lưu thì ngày hết hạn được cộng thêm số ngày đã dừng.</t>
        </is>
      </c>
      <c r="D79" s="24" t="inlineStr">
        <is>
          <t>BE</t>
        </is>
      </c>
      <c r="E79" s="22" t="inlineStr">
        <is>
          <t>Bảo</t>
        </is>
      </c>
      <c r="F79" s="22" t="inlineStr">
        <is>
          <t>Complex</t>
        </is>
      </c>
      <c r="G79" s="23" t="inlineStr">
        <is>
          <t>BR-1.16: mỗi lần tối thiểu 7 và tối đa MEMBERSHIP_FREEZE_MAX_DAYS ngày, tối đa MEMBERSHIP_FREEZE_MAX_TIMES lần trong một gói (system_settings). Không bảo lưu khi còn booking trong khoảng đó (phải huỷ trước) hoặc gói còn dưới 7 ngày. Kết thúc sớm thì chỉ cộng số ngày thực dừng. Ghi audit.</t>
        </is>
      </c>
      <c r="H79" s="22" t="inlineStr">
        <is>
          <t>sprint-3/be-bao</t>
        </is>
      </c>
      <c r="I79" s="22" t="inlineStr">
        <is>
          <t>20/10/2026</t>
        </is>
      </c>
      <c r="J79" s="22" t="inlineStr">
        <is>
          <t>02/11/2026</t>
        </is>
      </c>
      <c r="K79" s="22" t="inlineStr">
        <is>
          <t>Review</t>
        </is>
      </c>
      <c r="L79" s="23" t="n"/>
    </row>
    <row r="80" ht="73.5" customHeight="1" s="18">
      <c r="A80" s="22" t="inlineStr">
        <is>
          <t>S3-76</t>
        </is>
      </c>
      <c r="B80" s="22" t="inlineStr">
        <is>
          <t>UC-UM-20</t>
        </is>
      </c>
      <c r="C80" s="23" t="inlineStr">
        <is>
          <t>FE – Bảo lưu gói tập (màn 4, S22): hội viên hoặc lễ tân tạm dừng gói đang hiệu lực từ ngày A đến ngày B; trong thời gian bảo lưu không đăng ký lớp mới, hết bảo lưu thì ngày hết hạn được cộng thêm số ngày đã dừng.</t>
        </is>
      </c>
      <c r="D80" s="24" t="inlineStr">
        <is>
          <t>FE</t>
        </is>
      </c>
      <c r="E80" s="22" t="inlineStr">
        <is>
          <t>Khải</t>
        </is>
      </c>
      <c r="F80" s="22" t="inlineStr">
        <is>
          <t>Complex</t>
        </is>
      </c>
      <c r="G80" s="23" t="inlineStr">
        <is>
          <t>BR-1.16: mỗi lần tối thiểu 7 và tối đa MEMBERSHIP_FREEZE_MAX_DAYS ngày, tối đa MEMBERSHIP_FREEZE_MAX_TIMES lần trong một gói (system_settings). Không bảo lưu khi còn booking trong khoảng đó (phải huỷ trước) hoặc gói còn dưới 7 ngày. Kết thúc sớm thì chỉ cộng số ngày thực dừng. Ghi audit.</t>
        </is>
      </c>
      <c r="H80" s="22" t="inlineStr">
        <is>
          <t>sprint-3/fe-khai</t>
        </is>
      </c>
      <c r="I80" s="22" t="inlineStr">
        <is>
          <t>20/10/2026</t>
        </is>
      </c>
      <c r="J80" s="22" t="inlineStr">
        <is>
          <t>02/11/2026</t>
        </is>
      </c>
      <c r="K80" s="22" t="inlineStr">
        <is>
          <t>To Do</t>
        </is>
      </c>
      <c r="L80" s="23" t="n"/>
    </row>
    <row r="81" ht="73.5" customHeight="1" s="18">
      <c r="A81" s="22" t="inlineStr">
        <is>
          <t>S3-77</t>
        </is>
      </c>
      <c r="B81" s="22" t="inlineStr">
        <is>
          <t>UC-UM-08</t>
        </is>
      </c>
      <c r="C81" s="23" t="inlineStr">
        <is>
          <t>BE – Đổi giá / ngừng bán gói khi đang có hoá đơn chờ thanh toán: hoá đơn PENDING giữ nguyên giá và thời hạn đã chốt lúc tạo, vẫn thanh toán được đến khi hết hạn; tạo hoá đơn mới thì không chọn được gói đã ngừng bán.</t>
        </is>
      </c>
      <c r="D81" s="24" t="inlineStr">
        <is>
          <t>BE</t>
        </is>
      </c>
      <c r="E81" s="22" t="inlineStr">
        <is>
          <t>Nhanh</t>
        </is>
      </c>
      <c r="F81" s="22" t="inlineStr">
        <is>
          <t>Simple</t>
        </is>
      </c>
      <c r="G81" s="23" t="inlineStr">
        <is>
          <t>BR-1.6 và BR-1.17: giá trên hoá đơn là bản chốt (planName, durationDays, amount), webhook so với số tiền trên hoá đơn chứ không so với giá gói hiện tại. Bổ sung test tích hợp cho cả hai trường hợp.</t>
        </is>
      </c>
      <c r="H81" s="22" t="inlineStr">
        <is>
          <t>sprint-3/be-nhanh</t>
        </is>
      </c>
      <c r="I81" s="22" t="inlineStr">
        <is>
          <t>20/10/2026</t>
        </is>
      </c>
      <c r="J81" s="22" t="inlineStr">
        <is>
          <t>02/11/2026</t>
        </is>
      </c>
      <c r="K81" s="22" t="inlineStr">
        <is>
          <t>Review</t>
        </is>
      </c>
      <c r="L81" s="23" t="inlineStr">
        <is>
          <t>BE xong 14/10/2026 trên sprint-3/be-nhanh, 143 test BE pass; chờ review/merge</t>
        </is>
      </c>
    </row>
    <row r="82" ht="73.5" customHeight="1" s="18">
      <c r="A82" s="22" t="inlineStr">
        <is>
          <t>S3-78</t>
        </is>
      </c>
      <c r="B82" s="22" t="inlineStr">
        <is>
          <t>UC-CB-19</t>
        </is>
      </c>
      <c r="C82" s="23" t="inlineStr">
        <is>
          <t>BE – Danh sách chờ khi lớp đầy (màn 9, S24): hội viên bấm "Vào danh sách chờ" khi lớp hết chỗ; khi có người huỷ, người đứng đầu được giữ chỗ trong X giờ và nhận thông báo để xác nhận, quá hạn thì chuyển cho người kế tiếp.</t>
        </is>
      </c>
      <c r="D82" s="24" t="inlineStr">
        <is>
          <t>BE</t>
        </is>
      </c>
      <c r="E82" s="22" t="inlineStr">
        <is>
          <t>Bảo</t>
        </is>
      </c>
      <c r="F82" s="22" t="inlineStr">
        <is>
          <t>Complex</t>
        </is>
      </c>
      <c r="G82" s="23" t="inlineStr">
        <is>
          <t>BR-2.16: vào danh sách chờ vẫn phải qua kiểm tra gói còn hạn và không trùng giờ; thứ tự theo thời điểm vào. X = CLASS_WAITLIST_HOLD_HOURS (mặc định 12). Giữ chỗ và chuyển người kế tiếp chạy trong transaction để không vượt sức chứa (BR-2.2).</t>
        </is>
      </c>
      <c r="H82" s="22" t="inlineStr">
        <is>
          <t>sprint-3/be-bao</t>
        </is>
      </c>
      <c r="I82" s="22" t="inlineStr">
        <is>
          <t>20/10/2026</t>
        </is>
      </c>
      <c r="J82" s="22" t="inlineStr">
        <is>
          <t>02/11/2026</t>
        </is>
      </c>
      <c r="K82" s="22" t="inlineStr">
        <is>
          <t>Review</t>
        </is>
      </c>
      <c r="L82" s="23" t="n"/>
    </row>
    <row r="83" ht="73.5" customHeight="1" s="18">
      <c r="A83" s="22" t="inlineStr">
        <is>
          <t>S3-79</t>
        </is>
      </c>
      <c r="B83" s="22" t="inlineStr">
        <is>
          <t>UC-CB-19</t>
        </is>
      </c>
      <c r="C83" s="23" t="inlineStr">
        <is>
          <t>FE – Danh sách chờ khi lớp đầy (màn 9, S24): hội viên bấm "Vào danh sách chờ" khi lớp hết chỗ; khi có người huỷ, người đứng đầu được giữ chỗ trong X giờ và nhận thông báo để xác nhận, quá hạn thì chuyển cho người kế tiếp.</t>
        </is>
      </c>
      <c r="D83" s="24" t="inlineStr">
        <is>
          <t>FE</t>
        </is>
      </c>
      <c r="E83" s="22" t="inlineStr">
        <is>
          <t>Khải</t>
        </is>
      </c>
      <c r="F83" s="22" t="inlineStr">
        <is>
          <t>Complex</t>
        </is>
      </c>
      <c r="G83" s="23" t="inlineStr">
        <is>
          <t>BR-2.16: vào danh sách chờ vẫn phải qua kiểm tra gói còn hạn và không trùng giờ; thứ tự theo thời điểm vào. X = CLASS_WAITLIST_HOLD_HOURS (mặc định 12). Giữ chỗ và chuyển người kế tiếp chạy trong transaction để không vượt sức chứa (BR-2.2).</t>
        </is>
      </c>
      <c r="H83" s="22" t="inlineStr">
        <is>
          <t>sprint-3/fe-khai</t>
        </is>
      </c>
      <c r="I83" s="22" t="inlineStr">
        <is>
          <t>20/10/2026</t>
        </is>
      </c>
      <c r="J83" s="22" t="inlineStr">
        <is>
          <t>02/11/2026</t>
        </is>
      </c>
      <c r="K83" s="22" t="inlineStr">
        <is>
          <t>To Do</t>
        </is>
      </c>
      <c r="L83" s="23" t="n"/>
    </row>
    <row r="84" ht="60" customHeight="1" s="18">
      <c r="A84" s="22" t="inlineStr">
        <is>
          <t>S3-80</t>
        </is>
      </c>
      <c r="B84" s="22" t="inlineStr">
        <is>
          <t>UC-CB-06</t>
        </is>
      </c>
      <c r="C84" s="23" t="inlineStr">
        <is>
          <t>BE – Cảnh báo gói hết hạn trước khi lớp kết thúc (màn 9): khi đăng ký, nếu ngày hết hạn gói sớm hơn ngày kết thúc lớp thì hiện cảnh báo số buổi sau ngày hết hạn và nút gia hạn ngay.</t>
        </is>
      </c>
      <c r="D84" s="24" t="inlineStr">
        <is>
          <t>BE</t>
        </is>
      </c>
      <c r="E84" s="22" t="inlineStr">
        <is>
          <t>Khải</t>
        </is>
      </c>
      <c r="F84" s="22" t="inlineStr">
        <is>
          <t>Simple</t>
        </is>
      </c>
      <c r="G84" s="23" t="inlineStr">
        <is>
          <t>BR-1.12: vẫn cho đăng ký (booking giữ đến hết lớp), chỉ cảnh báo để hội viên chủ động gia hạn. BE trả thêm cờ và số buổi bị ảnh hưởng trong kết quả kiểm tra đăng ký.</t>
        </is>
      </c>
      <c r="H84" s="22" t="inlineStr">
        <is>
          <t>sprint-3/fe-khai</t>
        </is>
      </c>
      <c r="I84" s="22" t="inlineStr">
        <is>
          <t>20/10/2026</t>
        </is>
      </c>
      <c r="J84" s="22" t="inlineStr">
        <is>
          <t>02/11/2026</t>
        </is>
      </c>
      <c r="K84" s="22" t="inlineStr">
        <is>
          <t>To Do</t>
        </is>
      </c>
      <c r="L84" s="23" t="inlineStr">
        <is>
          <t>Full-stack để thành viên FE làm thêm BE; người review BE: Bảo.</t>
        </is>
      </c>
    </row>
    <row r="85" ht="60" customHeight="1" s="18">
      <c r="A85" s="22" t="inlineStr">
        <is>
          <t>S3-81</t>
        </is>
      </c>
      <c r="B85" s="22" t="inlineStr">
        <is>
          <t>UC-CB-06</t>
        </is>
      </c>
      <c r="C85" s="23" t="inlineStr">
        <is>
          <t>FE – Cảnh báo gói hết hạn trước khi lớp kết thúc (màn 9): khi đăng ký, nếu ngày hết hạn gói sớm hơn ngày kết thúc lớp thì hiện cảnh báo số buổi sau ngày hết hạn và nút gia hạn ngay.</t>
        </is>
      </c>
      <c r="D85" s="24" t="inlineStr">
        <is>
          <t>FE</t>
        </is>
      </c>
      <c r="E85" s="22" t="inlineStr">
        <is>
          <t>Khải</t>
        </is>
      </c>
      <c r="F85" s="22" t="inlineStr">
        <is>
          <t>Simple</t>
        </is>
      </c>
      <c r="G85" s="23" t="inlineStr">
        <is>
          <t>BR-1.12: vẫn cho đăng ký (booking giữ đến hết lớp), chỉ cảnh báo để hội viên chủ động gia hạn. BE trả thêm cờ và số buổi bị ảnh hưởng trong kết quả kiểm tra đăng ký.</t>
        </is>
      </c>
      <c r="H85" s="22" t="inlineStr">
        <is>
          <t>sprint-3/fe-khai</t>
        </is>
      </c>
      <c r="I85" s="22" t="inlineStr">
        <is>
          <t>20/10/2026</t>
        </is>
      </c>
      <c r="J85" s="22" t="inlineStr">
        <is>
          <t>02/11/2026</t>
        </is>
      </c>
      <c r="K85" s="22" t="inlineStr">
        <is>
          <t>To Do</t>
        </is>
      </c>
      <c r="L85" s="23" t="n"/>
    </row>
    <row r="86" ht="60" customHeight="1" s="18">
      <c r="A86" s="22" t="inlineStr">
        <is>
          <t>S3-82</t>
        </is>
      </c>
      <c r="B86" s="22" t="inlineStr">
        <is>
          <t>UC-CB-03</t>
        </is>
      </c>
      <c r="C86" s="23" t="inlineStr">
        <is>
          <t>BE – Đổi HLV phụ trách lớp (màn 12, S26): Manager chọn HLV thay thế cho cả lớp hoặc từ một ngày trở đi; hệ thống kiểm tra trùng lịch của HLV mới rồi thông báo cho hội viên, HLV cũ và HLV mới.</t>
        </is>
      </c>
      <c r="D86" s="24" t="inlineStr">
        <is>
          <t>BE</t>
        </is>
      </c>
      <c r="E86" s="22" t="inlineStr">
        <is>
          <t>Bảo</t>
        </is>
      </c>
      <c r="F86" s="22" t="inlineStr">
        <is>
          <t>Medium</t>
        </is>
      </c>
      <c r="G86" s="23" t="inlineStr">
        <is>
          <t>BR-2.4/2.13: HLV mới phải ACTIVE và không trùng buổi nào. Chỉ đổi buổi chưa diễn ra; buổi đã qua giữ HLV cũ để lịch sử điểm danh đúng. Dùng cho trường hợp khoá HLV (#100).</t>
        </is>
      </c>
      <c r="H86" s="22" t="inlineStr">
        <is>
          <t>sprint-3/be-bao</t>
        </is>
      </c>
      <c r="I86" s="22" t="inlineStr">
        <is>
          <t>20/10/2026</t>
        </is>
      </c>
      <c r="J86" s="22" t="inlineStr">
        <is>
          <t>02/11/2026</t>
        </is>
      </c>
      <c r="K86" s="22" t="inlineStr">
        <is>
          <t>Review</t>
        </is>
      </c>
      <c r="L86" s="23" t="n"/>
    </row>
    <row r="87" ht="60" customHeight="1" s="18">
      <c r="A87" s="22" t="inlineStr">
        <is>
          <t>S3-83</t>
        </is>
      </c>
      <c r="B87" s="22" t="inlineStr">
        <is>
          <t>UC-CB-03</t>
        </is>
      </c>
      <c r="C87" s="23" t="inlineStr">
        <is>
          <t>FE – Đổi HLV phụ trách lớp (màn 12, S26): Manager chọn HLV thay thế cho cả lớp hoặc từ một ngày trở đi; hệ thống kiểm tra trùng lịch của HLV mới rồi thông báo cho hội viên, HLV cũ và HLV mới.</t>
        </is>
      </c>
      <c r="D87" s="24" t="inlineStr">
        <is>
          <t>FE</t>
        </is>
      </c>
      <c r="E87" s="22" t="inlineStr">
        <is>
          <t>Khôi</t>
        </is>
      </c>
      <c r="F87" s="22" t="inlineStr">
        <is>
          <t>Medium</t>
        </is>
      </c>
      <c r="G87" s="23" t="inlineStr">
        <is>
          <t>BR-2.4/2.13: HLV mới phải ACTIVE và không trùng buổi nào. Chỉ đổi buổi chưa diễn ra; buổi đã qua giữ HLV cũ để lịch sử điểm danh đúng. Dùng cho trường hợp khoá HLV (#100).</t>
        </is>
      </c>
      <c r="H87" s="22" t="inlineStr">
        <is>
          <t>sprint-3/fe-khoi</t>
        </is>
      </c>
      <c r="I87" s="22" t="inlineStr">
        <is>
          <t>20/10/2026</t>
        </is>
      </c>
      <c r="J87" s="22" t="inlineStr">
        <is>
          <t>02/11/2026</t>
        </is>
      </c>
      <c r="K87" s="22" t="inlineStr">
        <is>
          <t>Review</t>
        </is>
      </c>
      <c r="L87" s="23" t="n"/>
    </row>
    <row r="88" ht="73.5" customHeight="1" s="18">
      <c r="A88" s="22" t="inlineStr">
        <is>
          <t>S3-84</t>
        </is>
      </c>
      <c r="B88" s="22" t="inlineStr">
        <is>
          <t>UC-CB-14</t>
        </is>
      </c>
      <c r="C88" s="23" t="inlineStr">
        <is>
          <t>BE – Phòng tạm ngưng để bảo trì (màn 13): Manager đặt phòng ngưng từ ngày A đến B; hệ thống liệt kê các buổi bị ảnh hưởng và gợi ý phòng trống cùng giờ đủ sức chứa để chuyển hàng loạt, buổi không chuyển được thì huỷ buổi (#53).</t>
        </is>
      </c>
      <c r="D88" s="24" t="inlineStr">
        <is>
          <t>BE</t>
        </is>
      </c>
      <c r="E88" s="22" t="inlineStr">
        <is>
          <t>Bảo</t>
        </is>
      </c>
      <c r="F88" s="22" t="inlineStr">
        <is>
          <t>Medium</t>
        </is>
      </c>
      <c r="G88" s="23" t="inlineStr">
        <is>
          <t>BR-2.4/2.10: phòng mới không trùng giờ và sức chứa ≥ số đã đăng ký. Hội viên của buổi bị đổi phòng hoặc bị huỷ nhận thông báo (BR-2.7); không xoá buổi, chỉ đổi trạng thái.</t>
        </is>
      </c>
      <c r="H88" s="22" t="inlineStr">
        <is>
          <t>sprint-3/be-bao</t>
        </is>
      </c>
      <c r="I88" s="22" t="inlineStr">
        <is>
          <t>20/10/2026</t>
        </is>
      </c>
      <c r="J88" s="22" t="inlineStr">
        <is>
          <t>02/11/2026</t>
        </is>
      </c>
      <c r="K88" s="22" t="inlineStr">
        <is>
          <t>Review</t>
        </is>
      </c>
      <c r="L88" s="23" t="n"/>
    </row>
    <row r="89" ht="73.5" customHeight="1" s="18">
      <c r="A89" s="22" t="inlineStr">
        <is>
          <t>S3-85</t>
        </is>
      </c>
      <c r="B89" s="22" t="inlineStr">
        <is>
          <t>UC-CB-14</t>
        </is>
      </c>
      <c r="C89" s="23" t="inlineStr">
        <is>
          <t>FE – Phòng tạm ngưng để bảo trì (màn 13): Manager đặt phòng ngưng từ ngày A đến B; hệ thống liệt kê các buổi bị ảnh hưởng và gợi ý phòng trống cùng giờ đủ sức chứa để chuyển hàng loạt, buổi không chuyển được thì huỷ buổi (#53).</t>
        </is>
      </c>
      <c r="D89" s="24" t="inlineStr">
        <is>
          <t>FE</t>
        </is>
      </c>
      <c r="E89" s="22" t="inlineStr">
        <is>
          <t>Khôi</t>
        </is>
      </c>
      <c r="F89" s="22" t="inlineStr">
        <is>
          <t>Medium</t>
        </is>
      </c>
      <c r="G89" s="23" t="inlineStr">
        <is>
          <t>BR-2.4/2.10: phòng mới không trùng giờ và sức chứa ≥ số đã đăng ký. Hội viên của buổi bị đổi phòng hoặc bị huỷ nhận thông báo (BR-2.7); không xoá buổi, chỉ đổi trạng thái.</t>
        </is>
      </c>
      <c r="H89" s="22" t="inlineStr">
        <is>
          <t>sprint-3/fe-khoi</t>
        </is>
      </c>
      <c r="I89" s="22" t="inlineStr">
        <is>
          <t>20/10/2026</t>
        </is>
      </c>
      <c r="J89" s="22" t="inlineStr">
        <is>
          <t>02/11/2026</t>
        </is>
      </c>
      <c r="K89" s="22" t="inlineStr">
        <is>
          <t>Review</t>
        </is>
      </c>
      <c r="L89" s="23" t="n"/>
    </row>
    <row r="90" ht="73.5" customHeight="1" s="18">
      <c r="A90" s="22" t="inlineStr">
        <is>
          <t>S3-86</t>
        </is>
      </c>
      <c r="B90" s="22" t="inlineStr">
        <is>
          <t>UC-CB-20</t>
        </is>
      </c>
      <c r="C90" s="23" t="inlineStr">
        <is>
          <t>BE – Tạm chặn đăng ký khi vắng mặt nhiều lần (màn 9, S22): hội viên vắng không huỷ trước từ N buổi trong M ngày bị chặn đăng ký lớp mới K ngày; màn đăng ký hiện lý do và ngày được đăng ký lại, lễ tân/Manager có quyền gỡ chặn kèm lý do.</t>
        </is>
      </c>
      <c r="D90" s="24" t="inlineStr">
        <is>
          <t>BE</t>
        </is>
      </c>
      <c r="E90" s="22" t="inlineStr">
        <is>
          <t>Bảo</t>
        </is>
      </c>
      <c r="F90" s="22" t="inlineStr">
        <is>
          <t>Medium</t>
        </is>
      </c>
      <c r="G90" s="23" t="inlineStr">
        <is>
          <t>BR-2.17: N = CLASS_NO_SHOW_LIMIT (mặc định 3), M = CLASS_NO_SHOW_WINDOW_DAYS (30), K = CLASS_NO_SHOW_BLOCK_DAYS (7). Chỉ tính buổi đã điểm danh vắng (#63); buổi bị huỷ hoặc đổi lịch không tính. Không ảnh hưởng booking đã có.</t>
        </is>
      </c>
      <c r="H90" s="22" t="inlineStr">
        <is>
          <t>sprint-3/be-bao</t>
        </is>
      </c>
      <c r="I90" s="22" t="inlineStr">
        <is>
          <t>20/10/2026</t>
        </is>
      </c>
      <c r="J90" s="22" t="inlineStr">
        <is>
          <t>02/11/2026</t>
        </is>
      </c>
      <c r="K90" s="22" t="inlineStr">
        <is>
          <t>Review</t>
        </is>
      </c>
      <c r="L90" s="23" t="n"/>
    </row>
    <row r="91" ht="73.5" customHeight="1" s="18">
      <c r="A91" s="22" t="inlineStr">
        <is>
          <t>S3-87</t>
        </is>
      </c>
      <c r="B91" s="22" t="inlineStr">
        <is>
          <t>UC-CB-20</t>
        </is>
      </c>
      <c r="C91" s="23" t="inlineStr">
        <is>
          <t>FE – Tạm chặn đăng ký khi vắng mặt nhiều lần (màn 9, S22): hội viên vắng không huỷ trước từ N buổi trong M ngày bị chặn đăng ký lớp mới K ngày; màn đăng ký hiện lý do và ngày được đăng ký lại, lễ tân/Manager có quyền gỡ chặn kèm lý do.</t>
        </is>
      </c>
      <c r="D91" s="24" t="inlineStr">
        <is>
          <t>FE</t>
        </is>
      </c>
      <c r="E91" s="22" t="inlineStr">
        <is>
          <t>Khải</t>
        </is>
      </c>
      <c r="F91" s="22" t="inlineStr">
        <is>
          <t>Medium</t>
        </is>
      </c>
      <c r="G91" s="23" t="inlineStr">
        <is>
          <t>BR-2.17: N = CLASS_NO_SHOW_LIMIT (mặc định 3), M = CLASS_NO_SHOW_WINDOW_DAYS (30), K = CLASS_NO_SHOW_BLOCK_DAYS (7). Chỉ tính buổi đã điểm danh vắng (#63); buổi bị huỷ hoặc đổi lịch không tính. Không ảnh hưởng booking đã có.</t>
        </is>
      </c>
      <c r="H91" s="22" t="inlineStr">
        <is>
          <t>sprint-3/fe-khai</t>
        </is>
      </c>
      <c r="I91" s="22" t="inlineStr">
        <is>
          <t>20/10/2026</t>
        </is>
      </c>
      <c r="J91" s="22" t="inlineStr">
        <is>
          <t>02/11/2026</t>
        </is>
      </c>
      <c r="K91" s="22" t="inlineStr">
        <is>
          <t>To Do</t>
        </is>
      </c>
      <c r="L91" s="23" t="n"/>
    </row>
    <row r="92" ht="60" customHeight="1" s="18">
      <c r="A92" s="22" t="inlineStr">
        <is>
          <t>S3-88</t>
        </is>
      </c>
      <c r="B92" s="22" t="inlineStr">
        <is>
          <t>Kiểm thử</t>
        </is>
      </c>
      <c r="C92" s="23" t="inlineStr">
        <is>
          <t>Test – Test E2E ngoại lệ Flow 1 và 2: khoá đăng nhập sau N lần sai, đăng ký tại quầy trùng SĐT, bảo lưu gói, danh sách chờ, đổi HLV, phòng bảo trì, chặn do vắng mặt.</t>
        </is>
      </c>
      <c r="D92" s="24" t="inlineStr">
        <is>
          <t>Test</t>
        </is>
      </c>
      <c r="E92" s="22" t="inlineStr">
        <is>
          <t>Khải</t>
        </is>
      </c>
      <c r="F92" s="22" t="inlineStr">
        <is>
          <t>Medium</t>
        </is>
      </c>
      <c r="G92" s="23" t="inlineStr">
        <is>
          <t>Mỗi ngoại lệ có ít nhất một ca test tích hợp BE và một ca E2E desktop; cập nhật SWP391_TestCase.xlsx.</t>
        </is>
      </c>
      <c r="H92" s="22" t="inlineStr">
        <is>
          <t>sprint-3/fe-khai</t>
        </is>
      </c>
      <c r="I92" s="22" t="inlineStr">
        <is>
          <t>20/10/2026</t>
        </is>
      </c>
      <c r="J92" s="22" t="inlineStr">
        <is>
          <t>02/11/2026</t>
        </is>
      </c>
      <c r="K92" s="22" t="inlineStr">
        <is>
          <t>To Do</t>
        </is>
      </c>
      <c r="L92" s="23" t="n"/>
    </row>
    <row r="93" ht="73.5" customHeight="1" s="18">
      <c r="A93" s="22" t="inlineStr">
        <is>
          <t>S3-89</t>
        </is>
      </c>
      <c r="B93" s="22" t="inlineStr">
        <is>
          <t>Tài liệu</t>
        </is>
      </c>
      <c r="C93" s="23" t="inlineStr">
        <is>
          <t>Docs – Bổ sung đặc tả UC-PAY-11 đến 14, UC-UM-20, UC-CB-19, UC-CB-20; business rule BR-1.14 đến 1.17, BR-2.16, 2.17, BR-PAY-15 đến 20; sơ đồ flow 1.5, 2.9, 3.17, 3.18; báo cáo rà soát UI Flow 1, 2.</t>
        </is>
      </c>
      <c r="D93" s="24" t="inlineStr">
        <is>
          <t>Docs</t>
        </is>
      </c>
      <c r="E93" s="22" t="inlineStr">
        <is>
          <t>Nhanh</t>
        </is>
      </c>
      <c r="F93" s="22" t="inlineStr">
        <is>
          <t>Simple</t>
        </is>
      </c>
      <c r="G93" s="23" t="inlineStr">
        <is>
          <t>Không có business rule riêng; tài liệu là nguồn cho các task #88–#108.</t>
        </is>
      </c>
      <c r="H93" s="22" t="inlineStr">
        <is>
          <t>feature/f3-sepay-online-payment</t>
        </is>
      </c>
      <c r="I93" s="22" t="inlineStr">
        <is>
          <t>14/10/2026</t>
        </is>
      </c>
      <c r="J93" s="22" t="inlineStr">
        <is>
          <t>14/10/2026</t>
        </is>
      </c>
      <c r="K93" s="22" t="inlineStr">
        <is>
          <t>Review</t>
        </is>
      </c>
      <c r="L93" s="23" t="inlineStr">
        <is>
          <t>Đã làm 14/10/2026 cùng đợt chia lại sprint.</t>
        </is>
      </c>
    </row>
    <row r="94" ht="114" customHeight="1" s="18">
      <c r="A94" s="22" t="inlineStr">
        <is>
          <t>UI-F1-01</t>
        </is>
      </c>
      <c r="B94" s="22" t="inlineStr">
        <is>
          <t>UI Flow 1</t>
        </is>
      </c>
      <c r="C94" s="23" t="inlineStr">
        <is>
          <t>FE – Sửa UI: Đăng nhập vào Tổng quan và thêm widget theo vai trò (màn / — m-01, r-01, c-01, a-01). Mọi vai trò đăng nhập xong đều vào trang lịch; Tổng quan chỉ có 2 thẻ. Sửa: vào / trước; hội viên thấy gói còn bao nhiêu ngày, lễ tân thấy hoá đơn chờ thu và hội viên sắp hết hạn, quản lý thấy doanh thu tháng, số hội viên hoạt động và số phiếu đối soát đang mở.</t>
        </is>
      </c>
      <c r="D94" s="24" t="inlineStr">
        <is>
          <t>FE</t>
        </is>
      </c>
      <c r="E94" s="22" t="inlineStr">
        <is>
          <t>Khôi</t>
        </is>
      </c>
      <c r="F94" s="22" t="inlineStr">
        <is>
          <t>Medium</t>
        </is>
      </c>
      <c r="G94" s="23" t="inlineStr">
        <is>
          <t>Không đổi business rule; giữ RBAC động, không hardcode chuỗi nghiệp vụ, file ≤ 200 dòng. File: router/resolvePostLoginPath.js, pages/dashboard/*</t>
        </is>
      </c>
      <c r="H94" s="22" t="inlineStr">
        <is>
          <t>sprint-3/fe-khoi</t>
        </is>
      </c>
      <c r="I94" s="22" t="inlineStr">
        <is>
          <t>20/10/2026</t>
        </is>
      </c>
      <c r="J94" s="22" t="inlineStr">
        <is>
          <t>02/11/2026</t>
        </is>
      </c>
      <c r="K94" s="22" t="inlineStr">
        <is>
          <t>Review</t>
        </is>
      </c>
      <c r="L94" s="23" t="inlineStr">
        <is>
          <t>Ảnh minh hoạ trong docs/kiem-thu/nghiem-thu/BaoCao_RaSoatUI_Flow1_Flow2.docx</t>
        </is>
      </c>
    </row>
    <row r="95" ht="100.5" customHeight="1" s="18">
      <c r="A95" s="22" t="inlineStr">
        <is>
          <t>UI-F1-02</t>
        </is>
      </c>
      <c r="B95" s="22" t="inlineStr">
        <is>
          <t>UI Flow 1</t>
        </is>
      </c>
      <c r="C95" s="23" t="inlineStr">
        <is>
          <t>FE – Sửa UI: Menu trái của quản lý tràn khỏi màn hình (màn mọi trang quản lý — a-01…a-07). Ở chiều cao 900px nhóm "Hệ thống" bị cắt, "Vai trò &amp; quyền", "Cấu hình" bị đẩy khỏi màn. Sửa: chỉ mở nhóm chứa trang hiện tại, giảm chiều cao mục, chuyển Hồ sơ/Đổi mật khẩu/Thông báo vào menu avatar.</t>
        </is>
      </c>
      <c r="D95" s="24" t="inlineStr">
        <is>
          <t>FE</t>
        </is>
      </c>
      <c r="E95" s="22" t="inlineStr">
        <is>
          <t>Khôi</t>
        </is>
      </c>
      <c r="F95" s="22" t="inlineStr">
        <is>
          <t>Medium</t>
        </is>
      </c>
      <c r="G95" s="23" t="inlineStr">
        <is>
          <t>Không đổi business rule; giữ RBAC động, không hardcode chuỗi nghiệp vụ, file ≤ 200 dòng. File: components/common/MainHeader.jsx, styles/polish.css</t>
        </is>
      </c>
      <c r="H95" s="22" t="inlineStr">
        <is>
          <t>sprint-3/fe-khoi</t>
        </is>
      </c>
      <c r="I95" s="22" t="inlineStr">
        <is>
          <t>20/10/2026</t>
        </is>
      </c>
      <c r="J95" s="22" t="inlineStr">
        <is>
          <t>02/11/2026</t>
        </is>
      </c>
      <c r="K95" s="22" t="inlineStr">
        <is>
          <t>Review</t>
        </is>
      </c>
      <c r="L95" s="23" t="inlineStr">
        <is>
          <t>Ảnh minh hoạ trong docs/kiem-thu/nghiem-thu/BaoCao_RaSoatUI_Flow1_Flow2.docx</t>
        </is>
      </c>
    </row>
    <row r="96" ht="87" customHeight="1" s="18">
      <c r="A96" s="22" t="inlineStr">
        <is>
          <t>UI-F1-03</t>
        </is>
      </c>
      <c r="B96" s="22" t="inlineStr">
        <is>
          <t>UI Flow 1</t>
        </is>
      </c>
      <c r="C96" s="23" t="inlineStr">
        <is>
          <t>FE – Sửa UI: Phụ đề header cố định và nhãn "SPORTS CENTER" lặp lại (màn mọi trang — m-02, a-04). Header luôn ghi "Lịch tập và hoạt động của bạn" kể cả ở Cấu hình, Hoá đơn. Sửa: lấy phụ đề theo route trong routeRegistry hoặc bỏ; thay nhãn lặp bằng breadcrumb nhóm › trang.</t>
        </is>
      </c>
      <c r="D96" s="24" t="inlineStr">
        <is>
          <t>FE</t>
        </is>
      </c>
      <c r="E96" s="22" t="inlineStr">
        <is>
          <t>Khôi</t>
        </is>
      </c>
      <c r="F96" s="22" t="inlineStr">
        <is>
          <t>Simple</t>
        </is>
      </c>
      <c r="G96" s="23" t="inlineStr">
        <is>
          <t>Không đổi business rule; giữ RBAC động, không hardcode chuỗi nghiệp vụ, file ≤ 200 dòng. File: components/common/MainHeader.jsx, components/common/PageHeader.jsx</t>
        </is>
      </c>
      <c r="H96" s="22" t="inlineStr">
        <is>
          <t>sprint-3/fe-khoi</t>
        </is>
      </c>
      <c r="I96" s="22" t="inlineStr">
        <is>
          <t>20/10/2026</t>
        </is>
      </c>
      <c r="J96" s="22" t="inlineStr">
        <is>
          <t>02/11/2026</t>
        </is>
      </c>
      <c r="K96" s="22" t="inlineStr">
        <is>
          <t>Review</t>
        </is>
      </c>
      <c r="L96" s="23" t="inlineStr">
        <is>
          <t>Ảnh minh hoạ trong docs/kiem-thu/nghiem-thu/BaoCao_RaSoatUI_Flow1_Flow2.docx</t>
        </is>
      </c>
    </row>
    <row r="97" ht="100.5" customHeight="1" s="18">
      <c r="A97" s="22" t="inlineStr">
        <is>
          <t>UI-F1-04</t>
        </is>
      </c>
      <c r="B97" s="22" t="inlineStr">
        <is>
          <t>UI Flow 1</t>
        </is>
      </c>
      <c r="C97" s="23" t="inlineStr">
        <is>
          <t>FE – Sửa UI: Bảng hội viên: bấm dòng không mở chi tiết, nút thiếu nhãn (màn /members — r-02, r-04, a-06). Bấm dòng không phản hồi; chi tiết chỉ mở bằng nút bút chì không nhãn; nút "Mua gói" màu chính lặp ở mọi dòng. Sửa: onRow mở drawer, cột "Thao tác" có nút "Xem", "Mua gói" thành nút phụ và đổi thành "Gia hạn" khi còn hạn.</t>
        </is>
      </c>
      <c r="D97" s="24" t="inlineStr">
        <is>
          <t>FE</t>
        </is>
      </c>
      <c r="E97" s="22" t="inlineStr">
        <is>
          <t>Khải</t>
        </is>
      </c>
      <c r="F97" s="22" t="inlineStr">
        <is>
          <t>Medium</t>
        </is>
      </c>
      <c r="G97" s="23" t="inlineStr">
        <is>
          <t>Không đổi business rule; giữ RBAC động, không hardcode chuỗi nghiệp vụ, file ≤ 200 dòng. File: pages/members/MemberColumns.jsx, pages/members/MembersPage.jsx</t>
        </is>
      </c>
      <c r="H97" s="22" t="inlineStr">
        <is>
          <t>sprint-3/fe-khai</t>
        </is>
      </c>
      <c r="I97" s="22" t="inlineStr">
        <is>
          <t>20/10/2026</t>
        </is>
      </c>
      <c r="J97" s="22" t="inlineStr">
        <is>
          <t>02/11/2026</t>
        </is>
      </c>
      <c r="K97" s="22" t="inlineStr">
        <is>
          <t>To Do</t>
        </is>
      </c>
      <c r="L97" s="23" t="inlineStr">
        <is>
          <t>Ảnh minh hoạ trong docs/kiem-thu/nghiem-thu/BaoCao_RaSoatUI_Flow1_Flow2.docx</t>
        </is>
      </c>
    </row>
    <row r="98" ht="127.5" customHeight="1" s="18">
      <c r="A98" s="22" t="inlineStr">
        <is>
          <t>UI-F1-05</t>
        </is>
      </c>
      <c r="B98" s="22" t="inlineStr">
        <is>
          <t>UI Flow 1</t>
        </is>
      </c>
      <c r="C98" s="23" t="inlineStr">
        <is>
          <t>FE – Sửa UI: Bảng hội viên chật cột, ô tìm kiếm khó thấy, thiếu bộ lọc (màn /members — r-02, r-05, a-06). SĐT và email xuống dòng; thẻ "Tra cứu nhanh" chỉ là chữ còn ô tìm thật nằm nhỏ trong bảng; không lọc theo trạng thái gói. Sửa: nowrap + width cột, đưa ô tìm lên đầu ("Tìm theo tên, SĐT hoặc email"), thêm lọc đang hoạt động / sắp hết hạn / chưa có gói / chưa xác minh email / đang bảo lưu.</t>
        </is>
      </c>
      <c r="D98" s="24" t="inlineStr">
        <is>
          <t>FE</t>
        </is>
      </c>
      <c r="E98" s="22" t="inlineStr">
        <is>
          <t>Khải</t>
        </is>
      </c>
      <c r="F98" s="22" t="inlineStr">
        <is>
          <t>Medium</t>
        </is>
      </c>
      <c r="G98" s="23" t="inlineStr">
        <is>
          <t>Không đổi business rule; giữ RBAC động, không hardcode chuỗi nghiệp vụ, file ≤ 200 dòng. File: pages/members/MembersListPanel.jsx, pages/members/members.css</t>
        </is>
      </c>
      <c r="H98" s="22" t="inlineStr">
        <is>
          <t>sprint-3/fe-khai</t>
        </is>
      </c>
      <c r="I98" s="22" t="inlineStr">
        <is>
          <t>20/10/2026</t>
        </is>
      </c>
      <c r="J98" s="22" t="inlineStr">
        <is>
          <t>02/11/2026</t>
        </is>
      </c>
      <c r="K98" s="22" t="inlineStr">
        <is>
          <t>To Do</t>
        </is>
      </c>
      <c r="L98" s="23" t="inlineStr">
        <is>
          <t>Ảnh minh hoạ trong docs/kiem-thu/nghiem-thu/BaoCao_RaSoatUI_Flow1_Flow2.docx</t>
        </is>
      </c>
    </row>
    <row r="99" ht="114" customHeight="1" s="18">
      <c r="A99" s="22" t="inlineStr">
        <is>
          <t>UI-F1-06</t>
        </is>
      </c>
      <c r="B99" s="22" t="inlineStr">
        <is>
          <t>UI Flow 1</t>
        </is>
      </c>
      <c r="C99" s="23" t="inlineStr">
        <is>
          <t>FE – Sửa UI: Thống nhất chính tả và viết hoa toàn FE (màn m-06, r-02, r-03, r-07, m-09, c-05). Trộn "hoá/hóa", "huỷ/hủy", "khoá/khóa" ngay trên một màn; tiêu đề "Quản Lý Hội Viên" viết hoa từng chữ; lúc gọi "học viên" lúc "hội viên". Sửa: chọn một kiểu ("hóa", "hủy", "khóa"), thay toàn bộ, gom nhãn dùng chung vào constants, gọi thống nhất là "hội viên".</t>
        </is>
      </c>
      <c r="D99" s="24" t="inlineStr">
        <is>
          <t>FE</t>
        </is>
      </c>
      <c r="E99" s="22" t="inlineStr">
        <is>
          <t>Khải</t>
        </is>
      </c>
      <c r="F99" s="22" t="inlineStr">
        <is>
          <t>Simple</t>
        </is>
      </c>
      <c r="G99" s="23" t="inlineStr">
        <is>
          <t>Không đổi business rule; giữ RBAC động, không hardcode chuỗi nghiệp vụ, file ≤ 200 dòng. File: constants/*.js, pages/**/*.jsx</t>
        </is>
      </c>
      <c r="H99" s="22" t="inlineStr">
        <is>
          <t>sprint-3/fe-khai</t>
        </is>
      </c>
      <c r="I99" s="22" t="inlineStr">
        <is>
          <t>20/10/2026</t>
        </is>
      </c>
      <c r="J99" s="22" t="inlineStr">
        <is>
          <t>02/11/2026</t>
        </is>
      </c>
      <c r="K99" s="22" t="inlineStr">
        <is>
          <t>To Do</t>
        </is>
      </c>
      <c r="L99" s="23" t="inlineStr">
        <is>
          <t>Ảnh minh hoạ trong docs/kiem-thu/nghiem-thu/BaoCao_RaSoatUI_Flow1_Flow2.docx</t>
        </is>
      </c>
    </row>
    <row r="100" ht="100.5" customHeight="1" s="18">
      <c r="A100" s="22" t="inlineStr">
        <is>
          <t>UI-F1-07</t>
        </is>
      </c>
      <c r="B100" s="22" t="inlineStr">
        <is>
          <t>UI Flow 1</t>
        </is>
      </c>
      <c r="C100" s="23" t="inlineStr">
        <is>
          <t>FE – Sửa UI: Còn chữ tiếng Anh và tên thương hiệu không thống nhất (màn m-05, a-05, r-06, a-04, f1-02). Còn "MEMBERSHIP CỦA BẠN", "Online", "Failed", "webhook"; trang đăng ký ghi "SportHub" trong khi logo là "Sports Center". Sửa: dịch thành "Gói tập của bạn", "Trực tuyến", "Thất bại"; đặt APP_NAME mặc định "Sports Center".</t>
        </is>
      </c>
      <c r="D100" s="24" t="inlineStr">
        <is>
          <t>FE</t>
        </is>
      </c>
      <c r="E100" s="22" t="inlineStr">
        <is>
          <t>Khải</t>
        </is>
      </c>
      <c r="F100" s="22" t="inlineStr">
        <is>
          <t>Simple</t>
        </is>
      </c>
      <c r="G100" s="23" t="inlineStr">
        <is>
          <t>Không đổi business rule; giữ RBAC động, không hardcode chuỗi nghiệp vụ, file ≤ 200 dòng. File: pages/membership/CurrentMembershipCard.jsx, pages/payments/InvoiceTable.jsx, layouts/AuthLayout.jsx, config/env.js</t>
        </is>
      </c>
      <c r="H100" s="22" t="inlineStr">
        <is>
          <t>sprint-3/fe-khai</t>
        </is>
      </c>
      <c r="I100" s="22" t="inlineStr">
        <is>
          <t>20/10/2026</t>
        </is>
      </c>
      <c r="J100" s="22" t="inlineStr">
        <is>
          <t>02/11/2026</t>
        </is>
      </c>
      <c r="K100" s="22" t="inlineStr">
        <is>
          <t>To Do</t>
        </is>
      </c>
      <c r="L100" s="23" t="inlineStr">
        <is>
          <t>Ảnh minh hoạ trong docs/kiem-thu/nghiem-thu/BaoCao_RaSoatUI_Flow1_Flow2.docx</t>
        </is>
      </c>
    </row>
    <row r="101" ht="114" customHeight="1" s="18">
      <c r="A101" s="22" t="inlineStr">
        <is>
          <t>UI-F1-08</t>
        </is>
      </c>
      <c r="B101" s="22" t="inlineStr">
        <is>
          <t>UI Flow 1</t>
        </is>
      </c>
      <c r="C101" s="23" t="inlineStr">
        <is>
          <t>FE – Sửa UI: Hội viên mua gói không có bước xác nhận ngày hiệu lực (màn /membership-plans — m-05). Hội viên còn hạn vẫn chỉ thấy "Chọn gói này", bấm là sang hoá đơn ngay, không biết gói mới bắt đầu/hết hạn khi nào; thẻ "ĐANG HOẠT ĐỘNG" thiếu tương phản. Sửa: hộp xác nhận dùng lại MembershipEffectPreview, đổi nút thành "Gia hạn" khi còn hạn, phụ đề theo vai trò, sửa màu thẻ.</t>
        </is>
      </c>
      <c r="D101" s="24" t="inlineStr">
        <is>
          <t>FE</t>
        </is>
      </c>
      <c r="E101" s="22" t="inlineStr">
        <is>
          <t>Khải</t>
        </is>
      </c>
      <c r="F101" s="22" t="inlineStr">
        <is>
          <t>Medium</t>
        </is>
      </c>
      <c r="G101" s="23" t="inlineStr">
        <is>
          <t>Không đổi business rule; giữ RBAC động, không hardcode chuỗi nghiệp vụ, file ≤ 200 dòng. File: pages/membership/MembershipCards.jsx, CurrentMembershipCard.jsx, MembershipPlansPage.jsx</t>
        </is>
      </c>
      <c r="H101" s="22" t="inlineStr">
        <is>
          <t>sprint-3/fe-khai</t>
        </is>
      </c>
      <c r="I101" s="22" t="inlineStr">
        <is>
          <t>20/10/2026</t>
        </is>
      </c>
      <c r="J101" s="22" t="inlineStr">
        <is>
          <t>02/11/2026</t>
        </is>
      </c>
      <c r="K101" s="22" t="inlineStr">
        <is>
          <t>To Do</t>
        </is>
      </c>
      <c r="L101" s="23" t="inlineStr">
        <is>
          <t>Ảnh minh hoạ trong docs/kiem-thu/nghiem-thu/BaoCao_RaSoatUI_Flow1_Flow2.docx</t>
        </is>
      </c>
    </row>
    <row r="102" ht="100.5" customHeight="1" s="18">
      <c r="A102" s="22" t="inlineStr">
        <is>
          <t>UI-F1-09</t>
        </is>
      </c>
      <c r="B102" s="22" t="inlineStr">
        <is>
          <t>UI Flow 1</t>
        </is>
      </c>
      <c r="C102" s="23" t="inlineStr">
        <is>
          <t>FE – Sửa UI: Trang hoá đơn của hội viên dùng bộ lọc của nhân viên (màn /payments — m-06). Ô tìm ghi "Mã hóa đơn hoặc tên hội viên", có lọc kênh; trạng thái trống chỉ là dòng chữ xám. Sửa: rút gọn bộ lọc theo quyền, dùng Empty kèm nút "Xem gói tập"; kiểm tra lại dữ liệu mẫu member1 đang có gói nhưng danh sách trống.</t>
        </is>
      </c>
      <c r="D102" s="24" t="inlineStr">
        <is>
          <t>FE</t>
        </is>
      </c>
      <c r="E102" s="22" t="inlineStr">
        <is>
          <t>Khải</t>
        </is>
      </c>
      <c r="F102" s="22" t="inlineStr">
        <is>
          <t>Simple</t>
        </is>
      </c>
      <c r="G102" s="23" t="inlineStr">
        <is>
          <t>Không đổi business rule; giữ RBAC động, không hardcode chuỗi nghiệp vụ, file ≤ 200 dòng. File: pages/payments/InvoiceFilters.jsx, pages/payments/InvoiceTable.jsx</t>
        </is>
      </c>
      <c r="H102" s="22" t="inlineStr">
        <is>
          <t>sprint-3/fe-khai</t>
        </is>
      </c>
      <c r="I102" s="22" t="inlineStr">
        <is>
          <t>20/10/2026</t>
        </is>
      </c>
      <c r="J102" s="22" t="inlineStr">
        <is>
          <t>02/11/2026</t>
        </is>
      </c>
      <c r="K102" s="22" t="inlineStr">
        <is>
          <t>To Do</t>
        </is>
      </c>
      <c r="L102" s="23" t="inlineStr">
        <is>
          <t>Ảnh minh hoạ trong docs/kiem-thu/nghiem-thu/BaoCao_RaSoatUI_Flow1_Flow2.docx</t>
        </is>
      </c>
    </row>
    <row r="103" ht="100.5" customHeight="1" s="18">
      <c r="A103" s="22" t="inlineStr">
        <is>
          <t>UI-F1-10</t>
        </is>
      </c>
      <c r="B103" s="22" t="inlineStr">
        <is>
          <t>UI Flow 1</t>
        </is>
      </c>
      <c r="C103" s="23" t="inlineStr">
        <is>
          <t>FE – Sửa UI: Thanh lọc hoá đơn của nhân viên lệch, thiếu lọc theo ngày (màn /payments — r-06, a-07). Bộ lọc chia 2 hàng lệch nhau, cột số tiền căn trái, không lọc theo khoảng ngày, nhãn "Hóa đơn của tôi" khó hiểu với lễ tân. Sửa: một hàng Flex wrap, thêm RangePicker, cột tiền căn phải, đổi nhãn "Do tôi tạo".</t>
        </is>
      </c>
      <c r="D103" s="24" t="inlineStr">
        <is>
          <t>FE</t>
        </is>
      </c>
      <c r="E103" s="22" t="inlineStr">
        <is>
          <t>Khải</t>
        </is>
      </c>
      <c r="F103" s="22" t="inlineStr">
        <is>
          <t>Simple</t>
        </is>
      </c>
      <c r="G103" s="23" t="inlineStr">
        <is>
          <t>Không đổi business rule; giữ RBAC động, không hardcode chuỗi nghiệp vụ, file ≤ 200 dòng. File: pages/payments/PaymentsPage.jsx, InvoiceFilters.jsx, InvoiceTable.jsx</t>
        </is>
      </c>
      <c r="H103" s="22" t="inlineStr">
        <is>
          <t>sprint-3/fe-khai</t>
        </is>
      </c>
      <c r="I103" s="22" t="inlineStr">
        <is>
          <t>20/10/2026</t>
        </is>
      </c>
      <c r="J103" s="22" t="inlineStr">
        <is>
          <t>02/11/2026</t>
        </is>
      </c>
      <c r="K103" s="22" t="inlineStr">
        <is>
          <t>To Do</t>
        </is>
      </c>
      <c r="L103" s="23" t="inlineStr">
        <is>
          <t>Ảnh minh hoạ trong docs/kiem-thu/nghiem-thu/BaoCao_RaSoatUI_Flow1_Flow2.docx</t>
        </is>
      </c>
    </row>
    <row r="104" ht="100.5" customHeight="1" s="18">
      <c r="A104" s="22" t="inlineStr">
        <is>
          <t>UI-F1-11</t>
        </is>
      </c>
      <c r="B104" s="22" t="inlineStr">
        <is>
          <t>UI Flow 1</t>
        </is>
      </c>
      <c r="C104" s="23" t="inlineStr">
        <is>
          <t>FE – Sửa UI: Modal tạo hoá đơn tại quầy: nút bị khoá mà không giải thích (màn modal Tạo hóa đơn tại quầy — r-07). Nút "Tạo hóa đơn" xám mà không nói cần làm gì; tiêu đề dính sát nhãn. Sửa: dòng hướng dẫn "Chọn hội viên và gói", hiện khung tóm tắt giá/hiệu lực ngay từ đầu, chỉnh khoảng cách như MemberFormModal.</t>
        </is>
      </c>
      <c r="D104" s="24" t="inlineStr">
        <is>
          <t>FE</t>
        </is>
      </c>
      <c r="E104" s="22" t="inlineStr">
        <is>
          <t>Khải</t>
        </is>
      </c>
      <c r="F104" s="22" t="inlineStr">
        <is>
          <t>Simple</t>
        </is>
      </c>
      <c r="G104" s="23" t="inlineStr">
        <is>
          <t>Không đổi business rule; giữ RBAC động, không hardcode chuỗi nghiệp vụ, file ≤ 200 dòng. File: pages/payments/CounterInvoiceModal.jsx</t>
        </is>
      </c>
      <c r="H104" s="22" t="inlineStr">
        <is>
          <t>sprint-3/fe-khai</t>
        </is>
      </c>
      <c r="I104" s="22" t="inlineStr">
        <is>
          <t>20/10/2026</t>
        </is>
      </c>
      <c r="J104" s="22" t="inlineStr">
        <is>
          <t>02/11/2026</t>
        </is>
      </c>
      <c r="K104" s="22" t="inlineStr">
        <is>
          <t>To Do</t>
        </is>
      </c>
      <c r="L104" s="23" t="inlineStr">
        <is>
          <t>Ảnh minh hoạ trong docs/kiem-thu/nghiem-thu/BaoCao_RaSoatUI_Flow1_Flow2.docx</t>
        </is>
      </c>
    </row>
    <row r="105" ht="100.5" customHeight="1" s="18">
      <c r="A105" s="22" t="inlineStr">
        <is>
          <t>UI-F1-12</t>
        </is>
      </c>
      <c r="B105" s="22" t="inlineStr">
        <is>
          <t>UI Flow 1</t>
        </is>
      </c>
      <c r="C105" s="23" t="inlineStr">
        <is>
          <t>FE – Sửa UI: Bảng tài khoản: tên vỡ dòng, đổi vai trò không cần xác nhận (màn /system/users — a-02). Họ tên bị chia 2–3 dòng, placeholder bị cắt, đổi vai trò ngay trong bảng không hỏi lại, không lọc trạng thái. Sửa: width + nowrap, Popconfirm khi đổi vai trò, thêm lọc trạng thái, dùng chung class bảng.</t>
        </is>
      </c>
      <c r="D105" s="24" t="inlineStr">
        <is>
          <t>FE</t>
        </is>
      </c>
      <c r="E105" s="22" t="inlineStr">
        <is>
          <t>Khôi</t>
        </is>
      </c>
      <c r="F105" s="22" t="inlineStr">
        <is>
          <t>Medium</t>
        </is>
      </c>
      <c r="G105" s="23" t="inlineStr">
        <is>
          <t>Không đổi business rule; giữ RBAC động, không hardcode chuỗi nghiệp vụ, file ≤ 200 dòng. File: pages/system/users/*</t>
        </is>
      </c>
      <c r="H105" s="22" t="inlineStr">
        <is>
          <t>sprint-3/fe-khoi</t>
        </is>
      </c>
      <c r="I105" s="22" t="inlineStr">
        <is>
          <t>20/10/2026</t>
        </is>
      </c>
      <c r="J105" s="22" t="inlineStr">
        <is>
          <t>02/11/2026</t>
        </is>
      </c>
      <c r="K105" s="22" t="inlineStr">
        <is>
          <t>Review</t>
        </is>
      </c>
      <c r="L105" s="23" t="inlineStr">
        <is>
          <t>Ảnh minh hoạ trong docs/kiem-thu/nghiem-thu/BaoCao_RaSoatUI_Flow1_Flow2.docx</t>
        </is>
      </c>
    </row>
    <row r="106" ht="114" customHeight="1" s="18">
      <c r="A106" s="22" t="inlineStr">
        <is>
          <t>UI-F1-13</t>
        </is>
      </c>
      <c r="B106" s="22" t="inlineStr">
        <is>
          <t>UI Flow 1</t>
        </is>
      </c>
      <c r="C106" s="23" t="inlineStr">
        <is>
          <t>FE – Sửa UI: Trang Cấu hình: addonAfter đã bị loại bỏ, nút Lưu khó thấy (màn /system/settings — a-04). Console cảnh báo InputNumber addonAfter deprecated; trang dài ~2.700px nhưng nút Lưu nằm trên đầu; "Đơn vị tiền tệ" là ô tự do. Sửa: dùng Space.Compact/suffix, chia Tabs theo nhóm, thanh Lưu sticky khi có thay đổi, Select cho tiền tệ.</t>
        </is>
      </c>
      <c r="D106" s="24" t="inlineStr">
        <is>
          <t>FE</t>
        </is>
      </c>
      <c r="E106" s="22" t="inlineStr">
        <is>
          <t>Khôi</t>
        </is>
      </c>
      <c r="F106" s="22" t="inlineStr">
        <is>
          <t>Simple</t>
        </is>
      </c>
      <c r="G106" s="23" t="inlineStr">
        <is>
          <t>Không đổi business rule; giữ RBAC động, không hardcode chuỗi nghiệp vụ, file ≤ 200 dòng. File: pages/system/settings/SettingField.jsx, SettingsPage.jsx</t>
        </is>
      </c>
      <c r="H106" s="22" t="inlineStr">
        <is>
          <t>sprint-3/fe-khoi</t>
        </is>
      </c>
      <c r="I106" s="22" t="inlineStr">
        <is>
          <t>20/10/2026</t>
        </is>
      </c>
      <c r="J106" s="22" t="inlineStr">
        <is>
          <t>02/11/2026</t>
        </is>
      </c>
      <c r="K106" s="22" t="inlineStr">
        <is>
          <t>Review</t>
        </is>
      </c>
      <c r="L106" s="23" t="inlineStr">
        <is>
          <t>Ảnh minh hoạ trong docs/kiem-thu/nghiem-thu/BaoCao_RaSoatUI_Flow1_Flow2.docx</t>
        </is>
      </c>
    </row>
    <row r="107" ht="141" customHeight="1" s="18">
      <c r="A107" s="22" t="inlineStr">
        <is>
          <t>UI-F1-14</t>
        </is>
      </c>
      <c r="B107" s="22" t="inlineStr">
        <is>
          <t>UI Flow 1</t>
        </is>
      </c>
      <c r="C107" s="23" t="inlineStr">
        <is>
          <t>FE – Sửa UI: Màn xác thực: lỗi chưa rõ, liên kết đặt lại sai vẫn hiện form (màn /login, /reset-password, /verify-email — f1-04…f1-06). Token sai vẫn hiện form, không có link quay lại; trang xác minh bảo gửi lại ở trang đăng nhập nhưng không có nút; sai mật khẩu chỉ hiện toast xa form. Sửa: Result lỗi kèm "Gửi lại liên kết", nút gửi lại xác minh ngay trên trang, Alert lỗi trong form đăng nhập (dùng chung với thông báo khoá tạm #98).</t>
        </is>
      </c>
      <c r="D107" s="24" t="inlineStr">
        <is>
          <t>FE</t>
        </is>
      </c>
      <c r="E107" s="22" t="inlineStr">
        <is>
          <t>Khôi</t>
        </is>
      </c>
      <c r="F107" s="22" t="inlineStr">
        <is>
          <t>Medium</t>
        </is>
      </c>
      <c r="G107" s="23" t="inlineStr">
        <is>
          <t>Không đổi business rule; giữ RBAC động, không hardcode chuỗi nghiệp vụ, file ≤ 200 dòng. File: pages/auth/ResetPasswordPage.jsx, VerifyEmailPage.jsx, LoginPage.jsx</t>
        </is>
      </c>
      <c r="H107" s="22" t="inlineStr">
        <is>
          <t>sprint-3/fe-khoi</t>
        </is>
      </c>
      <c r="I107" s="22" t="inlineStr">
        <is>
          <t>20/10/2026</t>
        </is>
      </c>
      <c r="J107" s="22" t="inlineStr">
        <is>
          <t>02/11/2026</t>
        </is>
      </c>
      <c r="K107" s="22" t="inlineStr">
        <is>
          <t>Review</t>
        </is>
      </c>
      <c r="L107" s="23" t="inlineStr">
        <is>
          <t>Ảnh minh hoạ trong docs/kiem-thu/nghiem-thu/BaoCao_RaSoatUI_Flow1_Flow2.docx</t>
        </is>
      </c>
    </row>
    <row r="108" ht="114" customHeight="1" s="18">
      <c r="A108" s="22" t="inlineStr">
        <is>
          <t>UI-F1-15</t>
        </is>
      </c>
      <c r="B108" s="22" t="inlineStr">
        <is>
          <t>UI Flow 1</t>
        </is>
      </c>
      <c r="C108" s="23" t="inlineStr">
        <is>
          <t>FE – Sửa UI: Biểu mẫu chưa đồng nhất: nhãn chữ hoa, lỗi sát nhau, gợi ý sai (màn f1-07, m-03, r-03, a-08, a-09). Lỗi kiểm tra dính sát nhãn, câu cụt ("Nhập email"); nhãn in hoa do CSS chung; ô mật khẩu không ghi quy tắc; ô email ghi "không bắt buộc nếu có SĐT" trong khi SĐT bắt buộc; form gói thiếu mô tả và định dạng VND. Sửa từng điểm.</t>
        </is>
      </c>
      <c r="D108" s="24" t="inlineStr">
        <is>
          <t>FE</t>
        </is>
      </c>
      <c r="E108" s="22" t="inlineStr">
        <is>
          <t>Khải</t>
        </is>
      </c>
      <c r="F108" s="22" t="inlineStr">
        <is>
          <t>Simple</t>
        </is>
      </c>
      <c r="G108" s="23" t="inlineStr">
        <is>
          <t>Không đổi business rule; giữ RBAC động, không hardcode chuỗi nghiệp vụ, file ≤ 200 dòng. File: pages/auth/RegisterForm.jsx, styles/app.css, pages/member/ChangePasswordForm.jsx, pages/members/MemberFormModal.jsx, pages/membership/MembershipPlanFormModal.jsx</t>
        </is>
      </c>
      <c r="H108" s="22" t="inlineStr">
        <is>
          <t>sprint-3/fe-khai</t>
        </is>
      </c>
      <c r="I108" s="22" t="inlineStr">
        <is>
          <t>20/10/2026</t>
        </is>
      </c>
      <c r="J108" s="22" t="inlineStr">
        <is>
          <t>02/11/2026</t>
        </is>
      </c>
      <c r="K108" s="22" t="inlineStr">
        <is>
          <t>To Do</t>
        </is>
      </c>
      <c r="L108" s="23" t="inlineStr">
        <is>
          <t>Ảnh minh hoạ trong docs/kiem-thu/nghiem-thu/BaoCao_RaSoatUI_Flow1_Flow2.docx</t>
        </is>
      </c>
    </row>
    <row r="109" ht="114" customHeight="1" s="18">
      <c r="A109" s="22" t="inlineStr">
        <is>
          <t>UI-F1-16</t>
        </is>
      </c>
      <c r="B109" s="22" t="inlineStr">
        <is>
          <t>UI Flow 1</t>
        </is>
      </c>
      <c r="C109" s="23" t="inlineStr">
        <is>
          <t>FE – Sửa UI: Hồ sơ và Thông báo trình bày còn thô (màn /profile, /notifications — m-02, m-04, m-12). Thẻ "Gói hiện tại" chỉ là chữ, lặp với bảng lịch sử, không có nút Gia hạn/Xem hoá đơn; thông báo trống vẫn hiện "Tổng 0"; chuông header quá nhạt. Sửa: thanh tiến độ ngày còn lại + nút Gia hạn, ẩn phân trang khi rỗng, tăng tương phản chuông + aria-label.</t>
        </is>
      </c>
      <c r="D109" s="24" t="inlineStr">
        <is>
          <t>FE</t>
        </is>
      </c>
      <c r="E109" s="22" t="inlineStr">
        <is>
          <t>Khải</t>
        </is>
      </c>
      <c r="F109" s="22" t="inlineStr">
        <is>
          <t>Simple</t>
        </is>
      </c>
      <c r="G109" s="23" t="inlineStr">
        <is>
          <t>Không đổi business rule; giữ RBAC động, không hardcode chuỗi nghiệp vụ, file ≤ 200 dòng. File: pages/member/ProfilePage.jsx, ProfileMemberships.jsx, NotificationsPage.jsx, components/common/NotificationBell.jsx</t>
        </is>
      </c>
      <c r="H109" s="22" t="inlineStr">
        <is>
          <t>sprint-3/fe-khai</t>
        </is>
      </c>
      <c r="I109" s="22" t="inlineStr">
        <is>
          <t>20/10/2026</t>
        </is>
      </c>
      <c r="J109" s="22" t="inlineStr">
        <is>
          <t>02/11/2026</t>
        </is>
      </c>
      <c r="K109" s="22" t="inlineStr">
        <is>
          <t>To Do</t>
        </is>
      </c>
      <c r="L109" s="23" t="inlineStr">
        <is>
          <t>Ảnh minh hoạ trong docs/kiem-thu/nghiem-thu/BaoCao_RaSoatUI_Flow1_Flow2.docx</t>
        </is>
      </c>
    </row>
    <row r="110" ht="100.5" customHeight="1" s="18">
      <c r="A110" s="22" t="inlineStr">
        <is>
          <t>UI-F2-01</t>
        </is>
      </c>
      <c r="B110" s="22" t="inlineStr">
        <is>
          <t>UI Flow 2</t>
        </is>
      </c>
      <c r="C110" s="23" t="inlineStr">
        <is>
          <t>FE – Sửa UI: Lịch "Tuần" ở 1366px vẫn xếp 7 hàng dọc (màn Lịch tập của tôi, Lịch dạy, Lịch trung tâm — m-11, c-02, a-16). Vùng nội dung ~1040px thấp hơn ngưỡng @container 1181px nên tuần thành danh sách 7 hàng, gần như chế độ Ngày. Sửa: hạ ngưỡng lưới 7 cột xuống ~900px, bỏ min-width 1140px, ô ngày chỉ giữ giờ, tên lớp, tag.</t>
        </is>
      </c>
      <c r="D110" s="24" t="inlineStr">
        <is>
          <t>FE</t>
        </is>
      </c>
      <c r="E110" s="22" t="inlineStr">
        <is>
          <t>Khôi</t>
        </is>
      </c>
      <c r="F110" s="22" t="inlineStr">
        <is>
          <t>Medium</t>
        </is>
      </c>
      <c r="G110" s="23" t="inlineStr">
        <is>
          <t>Không đổi business rule; giữ RBAC động, không hardcode chuỗi nghiệp vụ, file ≤ 200 dòng. File: pages/schedule/calendarExperience.css, desktopExperience.css, ScheduleCalendar.jsx</t>
        </is>
      </c>
      <c r="H110" s="22" t="inlineStr">
        <is>
          <t>sprint-3/fe-khoi</t>
        </is>
      </c>
      <c r="I110" s="22" t="inlineStr">
        <is>
          <t>20/10/2026</t>
        </is>
      </c>
      <c r="J110" s="22" t="inlineStr">
        <is>
          <t>02/11/2026</t>
        </is>
      </c>
      <c r="K110" s="22" t="inlineStr">
        <is>
          <t>Review</t>
        </is>
      </c>
      <c r="L110" s="23" t="inlineStr">
        <is>
          <t>Ảnh minh hoạ trong docs/kiem-thu/nghiem-thu/BaoCao_RaSoatUI_Flow1_Flow2.docx</t>
        </is>
      </c>
    </row>
    <row r="111" ht="114" customHeight="1" s="18">
      <c r="A111" s="22" t="inlineStr">
        <is>
          <t>UI-F2-02</t>
        </is>
      </c>
      <c r="B111" s="22" t="inlineStr">
        <is>
          <t>UI Flow 2</t>
        </is>
      </c>
      <c r="C111" s="23" t="inlineStr">
        <is>
          <t>FE – Sửa UI: Lễ tân đăng ký/huỷ hộ phải qua quá nhiều bước (màn Đăng ký / huỷ hộ — r-08, r-09). Phải gõ đủ email/SĐT, Enter rồi chọn tiếp trong Select; kết quả là hai khối card dài không có bộ lọc. Sửa: AutoComplete gợi ý khi gõ (tên, SĐT, trạng thái gói), thẻ tóm tắt hội viên, tách "Đã đăng ký" / "Đăng ký lớp mới" thành tab con có lọc.</t>
        </is>
      </c>
      <c r="D111" s="24" t="inlineStr">
        <is>
          <t>FE</t>
        </is>
      </c>
      <c r="E111" s="22" t="inlineStr">
        <is>
          <t>Khôi</t>
        </is>
      </c>
      <c r="F111" s="22" t="inlineStr">
        <is>
          <t>Medium</t>
        </is>
      </c>
      <c r="G111" s="23" t="inlineStr">
        <is>
          <t>Không đổi business rule; giữ RBAC động, không hardcode chuỗi nghiệp vụ, file ≤ 200 dòng. File: pages/schedule/StaffBookingPanel.jsx</t>
        </is>
      </c>
      <c r="H111" s="22" t="inlineStr">
        <is>
          <t>sprint-3/fe-khoi</t>
        </is>
      </c>
      <c r="I111" s="22" t="inlineStr">
        <is>
          <t>20/10/2026</t>
        </is>
      </c>
      <c r="J111" s="22" t="inlineStr">
        <is>
          <t>02/11/2026</t>
        </is>
      </c>
      <c r="K111" s="22" t="inlineStr">
        <is>
          <t>Review</t>
        </is>
      </c>
      <c r="L111" s="23" t="inlineStr">
        <is>
          <t>Ảnh minh hoạ trong docs/kiem-thu/nghiem-thu/BaoCao_RaSoatUI_Flow1_Flow2.docx</t>
        </is>
      </c>
    </row>
    <row r="112" ht="114" customHeight="1" s="18">
      <c r="A112" s="22" t="inlineStr">
        <is>
          <t>UI-F2-03</t>
        </is>
      </c>
      <c r="B112" s="22" t="inlineStr">
        <is>
          <t>UI Flow 2</t>
        </is>
      </c>
      <c r="C112" s="23" t="inlineStr">
        <is>
          <t>FE – Sửa UI: Card lớp không cho biết đã đăng ký chưa, hạn huỷ chưa rõ (màn Lớp đang mở, Chi tiết lớp — m-08, m-09). Chỉ có tag trạng thái lớp, không có tag "Đã đăng ký"; hạn huỷ chỉ hiện sau khi đăng ký. Sửa: thêm tag đăng ký, dòng "Huỷ trước: dd/MM HH:mm" cả khi chưa đăng ký, "Còn 0/15 chỗ" màu đỏ, nút "Vào danh sách chờ" khi hết chỗ (#103).</t>
        </is>
      </c>
      <c r="D112" s="24" t="inlineStr">
        <is>
          <t>FE</t>
        </is>
      </c>
      <c r="E112" s="22" t="inlineStr">
        <is>
          <t>Khải</t>
        </is>
      </c>
      <c r="F112" s="22" t="inlineStr">
        <is>
          <t>Simple</t>
        </is>
      </c>
      <c r="G112" s="23" t="inlineStr">
        <is>
          <t>Không đổi business rule; giữ RBAC động, không hardcode chuỗi nghiệp vụ, file ≤ 200 dòng. File: pages/schedule/ClassCard.jsx, BookingControls.jsx, ClassOverview.jsx</t>
        </is>
      </c>
      <c r="H112" s="22" t="inlineStr">
        <is>
          <t>sprint-3/fe-khai</t>
        </is>
      </c>
      <c r="I112" s="22" t="inlineStr">
        <is>
          <t>20/10/2026</t>
        </is>
      </c>
      <c r="J112" s="22" t="inlineStr">
        <is>
          <t>02/11/2026</t>
        </is>
      </c>
      <c r="K112" s="22" t="inlineStr">
        <is>
          <t>To Do</t>
        </is>
      </c>
      <c r="L112" s="23" t="inlineStr">
        <is>
          <t>Ảnh minh hoạ trong docs/kiem-thu/nghiem-thu/BaoCao_RaSoatUI_Flow1_Flow2.docx</t>
        </is>
      </c>
    </row>
    <row r="113" ht="114" customHeight="1" s="18">
      <c r="A113" s="22" t="inlineStr">
        <is>
          <t>UI-F2-04</t>
        </is>
      </c>
      <c r="B113" s="22" t="inlineStr">
        <is>
          <t>UI Flow 2</t>
        </is>
      </c>
      <c r="C113" s="23" t="inlineStr">
        <is>
          <t>FE – Sửa UI: Danh sách học viên hiện ID thô, thiếu thông tin điểm danh (màn Lớp phụ trách → Danh sách học viên — c-05). Cột người thao tác hiện "1003"; không có "1/15", không chọn buổi; tag "Đã đăng ký" xám; có phân trang khi chỉ 1 dòng. Sửa: hiện họ tên + vai trò, Select chọn buổi, tiêu đề "Đã đăng ký x/y", ScheduleStatusTag, hideOnSinglePage, nút In danh sách.</t>
        </is>
      </c>
      <c r="D113" s="24" t="inlineStr">
        <is>
          <t>FE</t>
        </is>
      </c>
      <c r="E113" s="22" t="inlineStr">
        <is>
          <t>Khôi</t>
        </is>
      </c>
      <c r="F113" s="22" t="inlineStr">
        <is>
          <t>Medium</t>
        </is>
      </c>
      <c r="G113" s="23" t="inlineStr">
        <is>
          <t>Không đổi business rule; giữ RBAC động, không hardcode chuỗi nghiệp vụ, file ≤ 200 dòng. File: pages/schedule/ClassRosterModal.jsx</t>
        </is>
      </c>
      <c r="H113" s="22" t="inlineStr">
        <is>
          <t>sprint-3/fe-khoi</t>
        </is>
      </c>
      <c r="I113" s="22" t="inlineStr">
        <is>
          <t>20/10/2026</t>
        </is>
      </c>
      <c r="J113" s="22" t="inlineStr">
        <is>
          <t>02/11/2026</t>
        </is>
      </c>
      <c r="K113" s="22" t="inlineStr">
        <is>
          <t>Review</t>
        </is>
      </c>
      <c r="L113" s="23" t="inlineStr">
        <is>
          <t>Ảnh minh hoạ trong docs/kiem-thu/nghiem-thu/BaoCao_RaSoatUI_Flow1_Flow2.docx</t>
        </is>
      </c>
    </row>
    <row r="114" ht="87" customHeight="1" s="18">
      <c r="A114" s="22" t="inlineStr">
        <is>
          <t>UI-F2-05</t>
        </is>
      </c>
      <c r="B114" s="22" t="inlineStr">
        <is>
          <t>UI Flow 2</t>
        </is>
      </c>
      <c r="C114" s="23" t="inlineStr">
        <is>
          <t>FE – Sửa UI: Tab "Lớp đang mở" của hội viên không có bộ lọc (màn Lớp đang mở — m-08). Hội viên chỉ có ô tìm tên lớp trong khi HLV/quản lý có lọc ngày, bộ môn, HLV. Sửa: dùng ClassFilters cho tab open (ẩn lọc trạng thái), gộp tìm kiếm và lọc vào một card.</t>
        </is>
      </c>
      <c r="D114" s="24" t="inlineStr">
        <is>
          <t>FE</t>
        </is>
      </c>
      <c r="E114" s="22" t="inlineStr">
        <is>
          <t>Khải</t>
        </is>
      </c>
      <c r="F114" s="22" t="inlineStr">
        <is>
          <t>Simple</t>
        </is>
      </c>
      <c r="G114" s="23" t="inlineStr">
        <is>
          <t>Không đổi business rule; giữ RBAC động, không hardcode chuỗi nghiệp vụ, file ≤ 200 dòng. File: pages/schedule/SchedulePage.jsx, ClassFilters.jsx, ClassListToolbar.jsx</t>
        </is>
      </c>
      <c r="H114" s="22" t="inlineStr">
        <is>
          <t>sprint-3/fe-khai</t>
        </is>
      </c>
      <c r="I114" s="22" t="inlineStr">
        <is>
          <t>20/10/2026</t>
        </is>
      </c>
      <c r="J114" s="22" t="inlineStr">
        <is>
          <t>02/11/2026</t>
        </is>
      </c>
      <c r="K114" s="22" t="inlineStr">
        <is>
          <t>To Do</t>
        </is>
      </c>
      <c r="L114" s="23" t="inlineStr">
        <is>
          <t>Ảnh minh hoạ trong docs/kiem-thu/nghiem-thu/BaoCao_RaSoatUI_Flow1_Flow2.docx</t>
        </is>
      </c>
    </row>
    <row r="115" ht="114" customHeight="1" s="18">
      <c r="A115" s="22" t="inlineStr">
        <is>
          <t>UI-F2-06</t>
        </is>
      </c>
      <c r="B115" s="22" t="inlineStr">
        <is>
          <t>UI Flow 2</t>
        </is>
      </c>
      <c r="C115" s="23" t="inlineStr">
        <is>
          <t>FE – Sửa UI: Lịch dạy của HLV thiếu sĩ số và lối tắt tới danh sách học viên (màn Lịch dạy — c-02, c-03). Card buổi dạy hiện tên chính HLV, không có "Đã đăng ký x/15"; muốn điểm danh phải sang tab khác; dòng phụ "Đăng ký và huỷ áp dụng cho toàn lớp" không hợp với HLV. Sửa: với kind="teaching" ẩn dòng HLV, hiện sĩ số, nút "Danh sách học viên"/"Điểm danh" (#63) ngay trên card.</t>
        </is>
      </c>
      <c r="D115" s="24" t="inlineStr">
        <is>
          <t>FE</t>
        </is>
      </c>
      <c r="E115" s="22" t="inlineStr">
        <is>
          <t>Khải</t>
        </is>
      </c>
      <c r="F115" s="22" t="inlineStr">
        <is>
          <t>Medium</t>
        </is>
      </c>
      <c r="G115" s="23" t="inlineStr">
        <is>
          <t>Không đổi business rule; giữ RBAC động, không hardcode chuỗi nghiệp vụ, file ≤ 200 dòng. File: pages/schedule/ScheduleEventCard.jsx, ScheduleToolbar.jsx</t>
        </is>
      </c>
      <c r="H115" s="22" t="inlineStr">
        <is>
          <t>sprint-3/fe-khai</t>
        </is>
      </c>
      <c r="I115" s="22" t="inlineStr">
        <is>
          <t>20/10/2026</t>
        </is>
      </c>
      <c r="J115" s="22" t="inlineStr">
        <is>
          <t>02/11/2026</t>
        </is>
      </c>
      <c r="K115" s="22" t="inlineStr">
        <is>
          <t>To Do</t>
        </is>
      </c>
      <c r="L115" s="23" t="inlineStr">
        <is>
          <t>Ảnh minh hoạ trong docs/kiem-thu/nghiem-thu/BaoCao_RaSoatUI_Flow1_Flow2.docx</t>
        </is>
      </c>
    </row>
    <row r="116" ht="100.5" customHeight="1" s="18">
      <c r="A116" s="22" t="inlineStr">
        <is>
          <t>UI-F2-07</t>
        </is>
      </c>
      <c r="B116" s="22" t="inlineStr">
        <is>
          <t>UI Flow 2</t>
        </is>
      </c>
      <c r="C116" s="23" t="inlineStr">
        <is>
          <t>FE – Sửa UI: Modal Tạo/Sửa lớp dài, phần lịch học bị khuất (màn Quản lý lớp → Tạo lớp — a-12). Form một cột, phần ngày/giờ/thứ nằm dưới mép; trạng thái để trống; giờ là ô text "HH:mm"; không gợi ý sức chứa phòng. Sửa: 2 cột, nhóm "Thông tin lớp"/"Lịch học", TimePicker.RangePicker, mặc định OPEN, ghi sức chứa trong option phòng.</t>
        </is>
      </c>
      <c r="D116" s="24" t="inlineStr">
        <is>
          <t>FE</t>
        </is>
      </c>
      <c r="E116" s="22" t="inlineStr">
        <is>
          <t>Khải</t>
        </is>
      </c>
      <c r="F116" s="22" t="inlineStr">
        <is>
          <t>Medium</t>
        </is>
      </c>
      <c r="G116" s="23" t="inlineStr">
        <is>
          <t>Không đổi business rule; giữ RBAC động, không hardcode chuỗi nghiệp vụ, file ≤ 200 dòng. File: pages/schedule/ClassFormModal.jsx, ClassIdentityFields.jsx, ClassScheduleFields.jsx</t>
        </is>
      </c>
      <c r="H116" s="22" t="inlineStr">
        <is>
          <t>sprint-3/fe-khai</t>
        </is>
      </c>
      <c r="I116" s="22" t="inlineStr">
        <is>
          <t>20/10/2026</t>
        </is>
      </c>
      <c r="J116" s="22" t="inlineStr">
        <is>
          <t>02/11/2026</t>
        </is>
      </c>
      <c r="K116" s="22" t="inlineStr">
        <is>
          <t>To Do</t>
        </is>
      </c>
      <c r="L116" s="23" t="inlineStr">
        <is>
          <t>Ảnh minh hoạ trong docs/kiem-thu/nghiem-thu/BaoCao_RaSoatUI_Flow1_Flow2.docx</t>
        </is>
      </c>
    </row>
    <row r="117" ht="114" customHeight="1" s="18">
      <c r="A117" s="22" t="inlineStr">
        <is>
          <t>UI-F2-08</t>
        </is>
      </c>
      <c r="B117" s="22" t="inlineStr">
        <is>
          <t>UI Flow 2</t>
        </is>
      </c>
      <c r="C117" s="23" t="inlineStr">
        <is>
          <t>FE – Sửa UI: Drawer chi tiết lớp bố cục rời rạc, bảng buổi khó đọc (màn Chi tiết lớp — m-09, a-13). Mô tả dính sát dòng trạng thái, nút thao tác lơ lửng giữa trang, bảng buổi lặp Phòng/HLV ở mọi dòng và không có thứ. Sửa: Descriptions bordered 2 cột, nút lên extra/footer, bảng chỉ "Thứ, ngày | Giờ | Trạng thái | Thao tác" (cột thao tác dùng cho #52/#53).</t>
        </is>
      </c>
      <c r="D117" s="24" t="inlineStr">
        <is>
          <t>FE</t>
        </is>
      </c>
      <c r="E117" s="22" t="inlineStr">
        <is>
          <t>Khải</t>
        </is>
      </c>
      <c r="F117" s="22" t="inlineStr">
        <is>
          <t>Medium</t>
        </is>
      </c>
      <c r="G117" s="23" t="inlineStr">
        <is>
          <t>Không đổi business rule; giữ RBAC động, không hardcode chuỗi nghiệp vụ, file ≤ 200 dòng. File: pages/schedule/ClassOverview.jsx, ClassDetailDrawer.jsx, ClassSessionsTable.jsx</t>
        </is>
      </c>
      <c r="H117" s="22" t="inlineStr">
        <is>
          <t>sprint-3/fe-khai</t>
        </is>
      </c>
      <c r="I117" s="22" t="inlineStr">
        <is>
          <t>20/10/2026</t>
        </is>
      </c>
      <c r="J117" s="22" t="inlineStr">
        <is>
          <t>02/11/2026</t>
        </is>
      </c>
      <c r="K117" s="22" t="inlineStr">
        <is>
          <t>To Do</t>
        </is>
      </c>
      <c r="L117" s="23" t="inlineStr">
        <is>
          <t>Ảnh minh hoạ trong docs/kiem-thu/nghiem-thu/BaoCao_RaSoatUI_Flow1_Flow2.docx</t>
        </is>
      </c>
    </row>
    <row r="118" ht="100.5" customHeight="1" s="18">
      <c r="A118" s="22" t="inlineStr">
        <is>
          <t>UI-F2-09</t>
        </is>
      </c>
      <c r="B118" s="22" t="inlineStr">
        <is>
          <t>UI Flow 2</t>
        </is>
      </c>
      <c r="C118" s="23" t="inlineStr">
        <is>
          <t>FE – Sửa UI: Trạng thái buổi và màu tag không thống nhất (màn Lịch trung tâm, Chi tiết lớp, Danh sách học viên — a-16, a-13, c-05). Lịch ghi "Đã diễn ra" còn bảng vẫn ghi "Theo lịch" cho cùng buổi; SCHEDULED lúc xanh lúc xám. Sửa: dồn logic hasEnded và bảng màu vào ScheduleStatusTag, mọi nơi dùng component này.</t>
        </is>
      </c>
      <c r="D118" s="24" t="inlineStr">
        <is>
          <t>FE</t>
        </is>
      </c>
      <c r="E118" s="22" t="inlineStr">
        <is>
          <t>Khôi</t>
        </is>
      </c>
      <c r="F118" s="22" t="inlineStr">
        <is>
          <t>Simple</t>
        </is>
      </c>
      <c r="G118" s="23" t="inlineStr">
        <is>
          <t>Không đổi business rule; giữ RBAC động, không hardcode chuỗi nghiệp vụ, file ≤ 200 dòng. File: pages/schedule/ScheduleStatusTag.jsx, ClassSessionsTable.jsx, ClassRosterModal.jsx, ScheduleEventCard.jsx</t>
        </is>
      </c>
      <c r="H118" s="22" t="inlineStr">
        <is>
          <t>sprint-3/fe-khoi</t>
        </is>
      </c>
      <c r="I118" s="22" t="inlineStr">
        <is>
          <t>20/10/2026</t>
        </is>
      </c>
      <c r="J118" s="22" t="inlineStr">
        <is>
          <t>02/11/2026</t>
        </is>
      </c>
      <c r="K118" s="22" t="inlineStr">
        <is>
          <t>Review</t>
        </is>
      </c>
      <c r="L118" s="23" t="inlineStr">
        <is>
          <t>Ảnh minh hoạ trong docs/kiem-thu/nghiem-thu/BaoCao_RaSoatUI_Flow1_Flow2.docx</t>
        </is>
      </c>
    </row>
    <row r="119" ht="100.5" customHeight="1" s="18">
      <c r="A119" s="22" t="inlineStr">
        <is>
          <t>UI-F2-10</t>
        </is>
      </c>
      <c r="B119" s="22" t="inlineStr">
        <is>
          <t>UI Flow 2</t>
        </is>
      </c>
      <c r="C119" s="23" t="inlineStr">
        <is>
          <t>FE – Sửa UI: Lịch trung tâm không lọc theo phòng / HLV / bộ môn (màn Lịch trung tâm — a-16). Quản lý chỉ chuyển ngày/tuần, không xem nhanh lịch một phòng hay một HLV để tránh trùng. Sửa: thêm Select Phòng/HLV/Bộ môn vào toolbar khi kind="management" và truyền vào params getSchedule (BE đã hỗ trợ lọc thì dùng, chưa có thì Bảo bổ sung).</t>
        </is>
      </c>
      <c r="D119" s="24" t="inlineStr">
        <is>
          <t>FE</t>
        </is>
      </c>
      <c r="E119" s="22" t="inlineStr">
        <is>
          <t>Khôi</t>
        </is>
      </c>
      <c r="F119" s="22" t="inlineStr">
        <is>
          <t>Medium</t>
        </is>
      </c>
      <c r="G119" s="23" t="inlineStr">
        <is>
          <t>Không đổi business rule; giữ RBAC động, không hardcode chuỗi nghiệp vụ, file ≤ 200 dòng. File: pages/schedule/ScheduleToolbar.jsx, useScheduleCalendar.js</t>
        </is>
      </c>
      <c r="H119" s="22" t="inlineStr">
        <is>
          <t>sprint-3/fe-khoi</t>
        </is>
      </c>
      <c r="I119" s="22" t="inlineStr">
        <is>
          <t>20/10/2026</t>
        </is>
      </c>
      <c r="J119" s="22" t="inlineStr">
        <is>
          <t>02/11/2026</t>
        </is>
      </c>
      <c r="K119" s="22" t="inlineStr">
        <is>
          <t>Review</t>
        </is>
      </c>
      <c r="L119" s="23" t="inlineStr">
        <is>
          <t>Ảnh minh hoạ trong docs/kiem-thu/nghiem-thu/BaoCao_RaSoatUI_Flow1_Flow2.docx</t>
        </is>
      </c>
    </row>
    <row r="120" ht="87" customHeight="1" s="18">
      <c r="A120" s="22" t="inlineStr">
        <is>
          <t>UI-F2-11</t>
        </is>
      </c>
      <c r="B120" s="22" t="inlineStr">
        <is>
          <t>UI Flow 2</t>
        </is>
      </c>
      <c r="C120" s="23" t="inlineStr">
        <is>
          <t>FE – Sửa UI: "Lịch tập của tôi" trống trông như bị lỗi (màn Lịch tập của tôi — m-10). 7 hàng cùng ghi "Không có buổi học" kèm "0 buổi học", không có lời dẫn. Sửa: cả tuần trống thì hiện một khối Empty với nút "Xem lớp đang mở", ngày trống thu gọn thành dòng mỏng.</t>
        </is>
      </c>
      <c r="D120" s="24" t="inlineStr">
        <is>
          <t>FE</t>
        </is>
      </c>
      <c r="E120" s="22" t="inlineStr">
        <is>
          <t>Khôi</t>
        </is>
      </c>
      <c r="F120" s="22" t="inlineStr">
        <is>
          <t>Simple</t>
        </is>
      </c>
      <c r="G120" s="23" t="inlineStr">
        <is>
          <t>Không đổi business rule; giữ RBAC động, không hardcode chuỗi nghiệp vụ, file ≤ 200 dòng. File: pages/schedule/ScheduleCalendar.jsx, ScheduleDay.jsx</t>
        </is>
      </c>
      <c r="H120" s="22" t="inlineStr">
        <is>
          <t>sprint-3/fe-khoi</t>
        </is>
      </c>
      <c r="I120" s="22" t="inlineStr">
        <is>
          <t>20/10/2026</t>
        </is>
      </c>
      <c r="J120" s="22" t="inlineStr">
        <is>
          <t>02/11/2026</t>
        </is>
      </c>
      <c r="K120" s="22" t="inlineStr">
        <is>
          <t>Review</t>
        </is>
      </c>
      <c r="L120" s="23" t="inlineStr">
        <is>
          <t>Ảnh minh hoạ trong docs/kiem-thu/nghiem-thu/BaoCao_RaSoatUI_Flow1_Flow2.docx</t>
        </is>
      </c>
    </row>
    <row r="121" ht="100.5" customHeight="1" s="18">
      <c r="A121" s="22" t="inlineStr">
        <is>
          <t>UI-F2-12</t>
        </is>
      </c>
      <c r="B121" s="22" t="inlineStr">
        <is>
          <t>UI Flow 2</t>
        </is>
      </c>
      <c r="C121" s="23" t="inlineStr">
        <is>
          <t>FE – Sửa UI: Nút trên card lớp chia hai tầng, thứ tự ưu tiên lẫn lộn (màn Lớp đang mở, Quản lý lớp, Lớp phụ trách — m-08, a-10, c-04). "Chi tiết", "Sửa", "Huỷ lớp" một hàng, "Đăng ký lớp" bị đẩy xuống đáy. Sửa: một footer, nút chính bên phải, Sửa/Huỷ lớp vào Dropdown "⋯" để tránh bấm nhầm nút đỏ.</t>
        </is>
      </c>
      <c r="D121" s="24" t="inlineStr">
        <is>
          <t>FE</t>
        </is>
      </c>
      <c r="E121" s="22" t="inlineStr">
        <is>
          <t>Khải</t>
        </is>
      </c>
      <c r="F121" s="22" t="inlineStr">
        <is>
          <t>Simple</t>
        </is>
      </c>
      <c r="G121" s="23" t="inlineStr">
        <is>
          <t>Không đổi business rule; giữ RBAC động, không hardcode chuỗi nghiệp vụ, file ≤ 200 dòng. File: pages/schedule/ClassCard.jsx, ClassBookingActions.jsx, classExperience.css</t>
        </is>
      </c>
      <c r="H121" s="22" t="inlineStr">
        <is>
          <t>sprint-3/fe-khai</t>
        </is>
      </c>
      <c r="I121" s="22" t="inlineStr">
        <is>
          <t>20/10/2026</t>
        </is>
      </c>
      <c r="J121" s="22" t="inlineStr">
        <is>
          <t>02/11/2026</t>
        </is>
      </c>
      <c r="K121" s="22" t="inlineStr">
        <is>
          <t>To Do</t>
        </is>
      </c>
      <c r="L121" s="23" t="inlineStr">
        <is>
          <t>Ảnh minh hoạ trong docs/kiem-thu/nghiem-thu/BaoCao_RaSoatUI_Flow1_Flow2.docx</t>
        </is>
      </c>
    </row>
    <row r="122" ht="87" customHeight="1" s="18">
      <c r="A122" s="22" t="inlineStr">
        <is>
          <t>UI-F2-13</t>
        </is>
      </c>
      <c r="B122" s="22" t="inlineStr">
        <is>
          <t>UI Flow 2</t>
        </is>
      </c>
      <c r="C122" s="23" t="inlineStr">
        <is>
          <t>FE – Sửa UI: Quản lý có 8 tab, có tab không đúng vai trò (màn Lớp học và lịch tập — a-10…a-16). Có cả "Lịch dạy" và "Lịch tập của tôi" cạnh các tab vận hành, thanh tab gần chạm mép. Sửa: ẩn hai tab đó khi có quyền xem toàn bộ hoặc gom thành 3 nhóm Vận hành lớp / Lịch / Danh mục.</t>
        </is>
      </c>
      <c r="D122" s="24" t="inlineStr">
        <is>
          <t>FE</t>
        </is>
      </c>
      <c r="E122" s="22" t="inlineStr">
        <is>
          <t>Khôi</t>
        </is>
      </c>
      <c r="F122" s="22" t="inlineStr">
        <is>
          <t>Simple</t>
        </is>
      </c>
      <c r="G122" s="23" t="inlineStr">
        <is>
          <t>Không đổi business rule; giữ RBAC động, không hardcode chuỗi nghiệp vụ, file ≤ 200 dòng. File: pages/schedule/SchedulePage.jsx (buildTabs)</t>
        </is>
      </c>
      <c r="H122" s="22" t="inlineStr">
        <is>
          <t>sprint-3/fe-khoi</t>
        </is>
      </c>
      <c r="I122" s="22" t="inlineStr">
        <is>
          <t>20/10/2026</t>
        </is>
      </c>
      <c r="J122" s="22" t="inlineStr">
        <is>
          <t>02/11/2026</t>
        </is>
      </c>
      <c r="K122" s="22" t="inlineStr">
        <is>
          <t>Review</t>
        </is>
      </c>
      <c r="L122" s="23" t="inlineStr">
        <is>
          <t>Ảnh minh hoạ trong docs/kiem-thu/nghiem-thu/BaoCao_RaSoatUI_Flow1_Flow2.docx</t>
        </is>
      </c>
    </row>
    <row r="123" ht="127.5" customHeight="1" s="18">
      <c r="A123" s="22" t="inlineStr">
        <is>
          <t>UI-F2-14</t>
        </is>
      </c>
      <c r="B123" s="22" t="inlineStr">
        <is>
          <t>UI Flow 2</t>
        </is>
      </c>
      <c r="C123" s="23" t="inlineStr">
        <is>
          <t>FE – Sửa UI: Card Bộ môn/Phòng tập lệch, không kích hoạt lại được (màn Bộ môn, Phòng tập — a-14, a-15). Tag dính sát nút, card ngừng hoạt động lệch so với card khác và không có "Kích hoạt lại", tên dài xuống dòng, phân trang căn trái. Sửa: tag lên extra, nút "Kích hoạt lại", lọc trạng thái, ellipsis + tooltip, căn phải phân trang (hoặc chuyển sang Table); thêm tag "Bảo trì" cho #106.</t>
        </is>
      </c>
      <c r="D123" s="24" t="inlineStr">
        <is>
          <t>FE</t>
        </is>
      </c>
      <c r="E123" s="22" t="inlineStr">
        <is>
          <t>Khải</t>
        </is>
      </c>
      <c r="F123" s="22" t="inlineStr">
        <is>
          <t>Simple</t>
        </is>
      </c>
      <c r="G123" s="23" t="inlineStr">
        <is>
          <t>Không đổi business rule; giữ RBAC động, không hardcode chuỗi nghiệp vụ, file ≤ 200 dòng. File: pages/schedule/ResourceCatalogPanel.jsx</t>
        </is>
      </c>
      <c r="H123" s="22" t="inlineStr">
        <is>
          <t>sprint-3/fe-khai</t>
        </is>
      </c>
      <c r="I123" s="22" t="inlineStr">
        <is>
          <t>20/10/2026</t>
        </is>
      </c>
      <c r="J123" s="22" t="inlineStr">
        <is>
          <t>02/11/2026</t>
        </is>
      </c>
      <c r="K123" s="22" t="inlineStr">
        <is>
          <t>To Do</t>
        </is>
      </c>
      <c r="L123" s="23" t="inlineStr">
        <is>
          <t>Ảnh minh hoạ trong docs/kiem-thu/nghiem-thu/BaoCao_RaSoatUI_Flow1_Flow2.docx</t>
        </is>
      </c>
    </row>
  </sheetData>
  <autoFilter ref="A4:L123"/>
  <mergeCells count="2">
    <mergeCell ref="A2:L2"/>
    <mergeCell ref="A1:L1"/>
  </mergeCells>
  <conditionalFormatting sqref="K5:K123">
    <cfRule type="cellIs" rank="0" priority="2" equalAverage="0" operator="equal" aboveAverage="0" dxfId="7" text="" percent="0" bottom="0">
      <formula>"Done"</formula>
    </cfRule>
    <cfRule type="cellIs" rank="0" priority="3" equalAverage="0" operator="equal" aboveAverage="0" dxfId="8" text="" percent="0" bottom="0">
      <formula>"Review"</formula>
    </cfRule>
    <cfRule type="cellIs" rank="0" priority="4" equalAverage="0" operator="equal" aboveAverage="0" dxfId="9" text="" percent="0" bottom="0">
      <formula>"In Progress"</formula>
    </cfRule>
    <cfRule type="cellIs" rank="0" priority="5" equalAverage="0" operator="equal" aboveAverage="0" dxfId="10" text="" percent="0" bottom="0">
      <formula>"To Do"</formula>
    </cfRule>
  </conditionalFormatting>
  <dataValidations count="1">
    <dataValidation sqref="K5:K123" showDropDown="0" showInputMessage="0" showErrorMessage="0" allowBlank="1" type="list">
      <formula1>"To Do,In Progress,Review,Done"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3.5" customHeight="0" zeroHeight="0" outlineLevelRow="0"/>
  <cols>
    <col width="14" customWidth="1" style="17" min="1" max="8"/>
  </cols>
  <sheetData>
    <row r="1" ht="16.5" customHeight="1" s="18">
      <c r="A1" s="25" t="inlineStr">
        <is>
          <t>Tiến độ Sprint 3 theo thành viên</t>
        </is>
      </c>
    </row>
    <row r="3" ht="13.5" customHeight="1" s="18">
      <c r="A3" s="26" t="inlineStr">
        <is>
          <t>Thành viên</t>
        </is>
      </c>
      <c r="B3" s="26" t="inlineStr">
        <is>
          <t>Vai</t>
        </is>
      </c>
      <c r="C3" s="26" t="inlineStr">
        <is>
          <t>Tổng task</t>
        </is>
      </c>
      <c r="D3" s="26" t="inlineStr">
        <is>
          <t>To Do</t>
        </is>
      </c>
      <c r="E3" s="26" t="inlineStr">
        <is>
          <t>In Progress</t>
        </is>
      </c>
      <c r="F3" s="26" t="inlineStr">
        <is>
          <t>Review</t>
        </is>
      </c>
      <c r="G3" s="26" t="inlineStr">
        <is>
          <t>Done</t>
        </is>
      </c>
      <c r="H3" s="26" t="inlineStr">
        <is>
          <t>% Done</t>
        </is>
      </c>
    </row>
    <row r="4" ht="13.5" customHeight="1" s="18">
      <c r="A4" s="27" t="inlineStr">
        <is>
          <t>Nhanh</t>
        </is>
      </c>
      <c r="B4" s="27" t="inlineStr">
        <is>
          <t>BE · Leader</t>
        </is>
      </c>
      <c r="C4" s="27">
        <f>COUNTIF('Task Sprint 3'!$E$5:$E$123,A4)</f>
        <v/>
      </c>
      <c r="D4" s="27">
        <f>COUNTIFS('Task Sprint 3'!$E$5:$E$123,$A4,'Task Sprint 3'!$K$5:$K$123,"To Do")</f>
        <v/>
      </c>
      <c r="E4" s="27">
        <f>COUNTIFS('Task Sprint 3'!$E$5:$E$123,$A4,'Task Sprint 3'!$K$5:$K$123,"In Progress")</f>
        <v/>
      </c>
      <c r="F4" s="27">
        <f>COUNTIFS('Task Sprint 3'!$E$5:$E$123,$A4,'Task Sprint 3'!$K$5:$K$123,"Review")</f>
        <v/>
      </c>
      <c r="G4" s="27">
        <f>COUNTIFS('Task Sprint 3'!$E$5:$E$123,$A4,'Task Sprint 3'!$K$5:$K$123,"Done")</f>
        <v/>
      </c>
      <c r="H4" s="28">
        <f>IF(C4=0,0,G4/C4)</f>
        <v/>
      </c>
    </row>
    <row r="5" ht="13.5" customHeight="1" s="18">
      <c r="A5" s="27" t="inlineStr">
        <is>
          <t>Bảo</t>
        </is>
      </c>
      <c r="B5" s="27" t="inlineStr">
        <is>
          <t>BE</t>
        </is>
      </c>
      <c r="C5" s="27">
        <f>COUNTIF('Task Sprint 3'!$E$5:$E$123,A5)</f>
        <v/>
      </c>
      <c r="D5" s="27">
        <f>COUNTIFS('Task Sprint 3'!$E$5:$E$123,$A5,'Task Sprint 3'!$K$5:$K$123,"To Do")</f>
        <v/>
      </c>
      <c r="E5" s="27">
        <f>COUNTIFS('Task Sprint 3'!$E$5:$E$123,$A5,'Task Sprint 3'!$K$5:$K$123,"In Progress")</f>
        <v/>
      </c>
      <c r="F5" s="27">
        <f>COUNTIFS('Task Sprint 3'!$E$5:$E$123,$A5,'Task Sprint 3'!$K$5:$K$123,"Review")</f>
        <v/>
      </c>
      <c r="G5" s="27">
        <f>COUNTIFS('Task Sprint 3'!$E$5:$E$123,$A5,'Task Sprint 3'!$K$5:$K$123,"Done")</f>
        <v/>
      </c>
      <c r="H5" s="28">
        <f>IF(C5=0,0,G5/C5)</f>
        <v/>
      </c>
    </row>
    <row r="6" ht="13.5" customHeight="1" s="18">
      <c r="A6" s="27" t="inlineStr">
        <is>
          <t>Khôi</t>
        </is>
      </c>
      <c r="B6" s="27" t="inlineStr">
        <is>
          <t>FE</t>
        </is>
      </c>
      <c r="C6" s="27">
        <f>COUNTIF('Task Sprint 3'!$E$5:$E$123,A6)</f>
        <v/>
      </c>
      <c r="D6" s="27">
        <f>COUNTIFS('Task Sprint 3'!$E$5:$E$123,$A6,'Task Sprint 3'!$K$5:$K$123,"To Do")</f>
        <v/>
      </c>
      <c r="E6" s="27">
        <f>COUNTIFS('Task Sprint 3'!$E$5:$E$123,$A6,'Task Sprint 3'!$K$5:$K$123,"In Progress")</f>
        <v/>
      </c>
      <c r="F6" s="27">
        <f>COUNTIFS('Task Sprint 3'!$E$5:$E$123,$A6,'Task Sprint 3'!$K$5:$K$123,"Review")</f>
        <v/>
      </c>
      <c r="G6" s="27">
        <f>COUNTIFS('Task Sprint 3'!$E$5:$E$123,$A6,'Task Sprint 3'!$K$5:$K$123,"Done")</f>
        <v/>
      </c>
      <c r="H6" s="28">
        <f>IF(C6=0,0,G6/C6)</f>
        <v/>
      </c>
    </row>
    <row r="7" ht="13.5" customHeight="1" s="18">
      <c r="A7" s="27" t="inlineStr">
        <is>
          <t>Khải</t>
        </is>
      </c>
      <c r="B7" s="27" t="inlineStr">
        <is>
          <t>FE</t>
        </is>
      </c>
      <c r="C7" s="27">
        <f>COUNTIF('Task Sprint 3'!$E$5:$E$123,A7)</f>
        <v/>
      </c>
      <c r="D7" s="27">
        <f>COUNTIFS('Task Sprint 3'!$E$5:$E$123,$A7,'Task Sprint 3'!$K$5:$K$123,"To Do")</f>
        <v/>
      </c>
      <c r="E7" s="27">
        <f>COUNTIFS('Task Sprint 3'!$E$5:$E$123,$A7,'Task Sprint 3'!$K$5:$K$123,"In Progress")</f>
        <v/>
      </c>
      <c r="F7" s="27">
        <f>COUNTIFS('Task Sprint 3'!$E$5:$E$123,$A7,'Task Sprint 3'!$K$5:$K$123,"Review")</f>
        <v/>
      </c>
      <c r="G7" s="27">
        <f>COUNTIFS('Task Sprint 3'!$E$5:$E$123,$A7,'Task Sprint 3'!$K$5:$K$123,"Done")</f>
        <v/>
      </c>
      <c r="H7" s="28">
        <f>IF(C7=0,0,G7/C7)</f>
        <v/>
      </c>
    </row>
    <row r="8" ht="13.5" customHeight="1" s="18">
      <c r="A8" s="29" t="inlineStr">
        <is>
          <t>Tổng</t>
        </is>
      </c>
      <c r="C8" s="17">
        <f>SUM(C4:C7)</f>
        <v/>
      </c>
      <c r="D8" s="17">
        <f>SUM(D4:D7)</f>
        <v/>
      </c>
      <c r="E8" s="17">
        <f>SUM(E4:E7)</f>
        <v/>
      </c>
      <c r="F8" s="17">
        <f>SUM(F4:F7)</f>
        <v/>
      </c>
      <c r="G8" s="17">
        <f>SUM(G4:G7)</f>
        <v/>
      </c>
      <c r="H8" s="30">
        <f>IF(C8=0,0,G8/C8)</f>
        <v/>
      </c>
    </row>
    <row r="10" ht="13.5" customHeight="1" s="18">
      <c r="A10" s="29" t="inlineStr">
        <is>
          <t>Demo main flow Sprint 3 (Review 3):</t>
        </is>
      </c>
    </row>
    <row r="11" ht="13.5" customHeight="1" s="18">
      <c r="A11" s="17" t="inlineStr">
        <is>
          <t>1. Hội viên chọn gói → xác nhận ngày hiệu lực → QR → chuyển khoản → webhook SePay → Đã thanh toán → tải hoá đơn PDF</t>
        </is>
      </c>
    </row>
    <row r="12" ht="13.5" customHeight="1" s="18">
      <c r="A12" s="17" t="inlineStr">
        <is>
          <t>2. Đối soát: chuyển sai mã → Manager map vào hội viên/gói; chuyển thiếu → hội viên chuyển bù bằng QR phần thiếu → PAID → xuất hoá đơn</t>
        </is>
      </c>
    </row>
    <row r="13" ht="13.5" customHeight="1" s="18">
      <c r="A13" s="17" t="inlineStr">
        <is>
          <t>3. Chuyển thừa → xác nhận + hoàn phần thừa; chuyển 2 lần cùng mã → cảnh báo đỏ → ghi nhật ký liên hệ → hoàn hoặc dùng gia hạn</t>
        </is>
      </c>
    </row>
    <row r="14" ht="13.5" customHeight="1" s="18">
      <c r="A14" s="17" t="inlineStr">
        <is>
          <t>4. Lỗi mạng/webhook chậm: hội viên bấm "Tôi đã chuyển khoản" → Manager đối chiếu → map; job hết hạn hoá đơn, job nhắc/hết hạn gói</t>
        </is>
      </c>
    </row>
    <row r="15" ht="13.5" customHeight="1" s="18">
      <c r="A15" s="17" t="inlineStr">
        <is>
          <t>5. Flow 1 sâu: khoá đăng nhập sau 5 lần sai; đăng ký tại quầy trùng SĐT → mở hồ sơ có sẵn; bảo lưu gói; khoá hội viên có lịch</t>
        </is>
      </c>
    </row>
    <row r="16" ht="13.5" customHeight="1" s="18">
      <c r="A16" s="17" t="inlineStr">
        <is>
          <t>6. Flow 2 sâu: lớp đầy → danh sách chờ; đổi giờ/huỷ một buổi; đổi HLV; phòng bảo trì; HLV điểm danh → chặn do vắng nhiều lần</t>
        </is>
      </c>
    </row>
    <row r="17">
      <c r="A17" s="17" t="inlineStr">
        <is>
          <t>7. Manager xem nhật ký thao tác, dashboard báo cáo và xuất tệp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5" customHeight="0" zeroHeight="0" outlineLevelRow="0"/>
  <cols>
    <col width="9" customWidth="1" style="17" min="1" max="1"/>
    <col width="7" customWidth="1" style="17" min="2" max="2"/>
    <col width="70" customWidth="1" style="17" min="3" max="3"/>
    <col width="18" customWidth="1" style="17" min="4" max="4"/>
    <col width="12" customWidth="1" style="17" min="5" max="5"/>
    <col width="50" customWidth="1" style="17" min="6" max="6"/>
  </cols>
  <sheetData>
    <row r="1" ht="17.25" customHeight="1" s="18">
      <c r="A1" s="19" t="inlineStr">
        <is>
          <t>VIỆC THÊM THEO GÓP Ý GIẢNG VIÊN – KHÔNG THUỘC SPRINT PLAN, KHÔNG TÍNH VÀO TỔNG HỢP</t>
        </is>
      </c>
    </row>
    <row r="2" ht="15" customHeight="1" s="18">
      <c r="A2" s="20" t="inlineStr">
        <is>
          <t>Việc thêm theo góp ý giảng viên, chuyển từ Sprint 2 và đã làm xong ở sprint bổ sung (PR #3). Đã tính trong Task Sprint 3 nên không tính vào Tổng hợp. Người làm là đề xuất, nhóm chốt lại.</t>
        </is>
      </c>
    </row>
    <row r="4" ht="15" customHeight="1" s="18">
      <c r="A4" s="21" t="inlineStr">
        <is>
          <t>Task ID</t>
        </is>
      </c>
      <c r="B4" s="21" t="inlineStr">
        <is>
          <t>Loại</t>
        </is>
      </c>
      <c r="C4" s="21" t="inlineStr">
        <is>
          <t>Việc</t>
        </is>
      </c>
      <c r="D4" s="21" t="inlineStr">
        <is>
          <t>Người làm (đề xuất)</t>
        </is>
      </c>
      <c r="E4" s="21" t="inlineStr">
        <is>
          <t>Trạng thái</t>
        </is>
      </c>
      <c r="F4" s="21" t="inlineStr">
        <is>
          <t>Ghi chú</t>
        </is>
      </c>
    </row>
    <row r="5" ht="15" customHeight="1" s="18">
      <c r="A5" s="22" t="inlineStr">
        <is>
          <t>X-01</t>
        </is>
      </c>
      <c r="B5" s="22" t="inlineStr">
        <is>
          <t>BE</t>
        </is>
      </c>
      <c r="C5" s="22" t="inlineStr">
        <is>
          <t>Mailer dùng chung (nodemailer, đọc MAIL_* từ .env)</t>
        </is>
      </c>
      <c r="D5" s="22" t="inlineStr">
        <is>
          <t>Nhanh</t>
        </is>
      </c>
      <c r="E5" s="22" t="inlineStr">
        <is>
          <t>Review</t>
        </is>
      </c>
      <c r="F5" s="22" t="inlineStr">
        <is>
          <t>Đã làm: gửi mail qua MAIL_* trong .env (dùng chung cho đặt lại mật khẩu, xác minh, đổi email). Xem S3-01</t>
        </is>
      </c>
    </row>
    <row r="6" ht="15" customHeight="1" s="18">
      <c r="A6" s="22" t="inlineStr">
        <is>
          <t>X-02</t>
        </is>
      </c>
      <c r="B6" s="22" t="inlineStr">
        <is>
          <t>BE</t>
        </is>
      </c>
      <c r="C6" s="22" t="inlineStr">
        <is>
          <t>Gửi link xác minh sau đăng ký (token băm, dùng 1 lần, hạn đọc từ system_settings)</t>
        </is>
      </c>
      <c r="D6" s="22" t="inlineStr">
        <is>
          <t>Nhanh</t>
        </is>
      </c>
      <c r="E6" s="22" t="inlineStr">
        <is>
          <t>Review</t>
        </is>
      </c>
      <c r="F6" s="22" t="inlineStr">
        <is>
          <t>Đã làm. Xem S3-28</t>
        </is>
      </c>
    </row>
    <row r="7" ht="15" customHeight="1" s="18">
      <c r="A7" s="22" t="inlineStr">
        <is>
          <t>X-03</t>
        </is>
      </c>
      <c r="B7" s="22" t="inlineStr">
        <is>
          <t>BE</t>
        </is>
      </c>
      <c r="C7" s="22" t="inlineStr">
        <is>
          <t>API verify-email, resend-verification (giới hạn tần suất)</t>
        </is>
      </c>
      <c r="D7" s="22" t="inlineStr">
        <is>
          <t>Nhanh</t>
        </is>
      </c>
      <c r="E7" s="22" t="inlineStr">
        <is>
          <t>Review</t>
        </is>
      </c>
      <c r="F7" s="22" t="inlineStr">
        <is>
          <t>Đã làm (có giới hạn tần suất). Xem S3-28</t>
        </is>
      </c>
    </row>
    <row r="8" ht="15" customHeight="1" s="18">
      <c r="A8" s="22" t="inlineStr">
        <is>
          <t>X-04</t>
        </is>
      </c>
      <c r="B8" s="22" t="inlineStr">
        <is>
          <t>BE</t>
        </is>
      </c>
      <c r="C8" s="22" t="inlineStr">
        <is>
          <t>Cột email_verified_at + chặn đăng ký lớp/mua gói khi chưa xác minh</t>
        </is>
      </c>
      <c r="D8" s="22" t="inlineStr">
        <is>
          <t>Nhanh</t>
        </is>
      </c>
      <c r="E8" s="22" t="inlineStr">
        <is>
          <t>Review</t>
        </is>
      </c>
      <c r="F8" s="22" t="inlineStr">
        <is>
          <t>Đã chốt: chặn đăng nhập khi chưa xác minh (403 EMAIL_NOT_VERIFIED). Xem S3-28</t>
        </is>
      </c>
    </row>
    <row r="9" ht="15" customHeight="1" s="18">
      <c r="A9" s="22" t="inlineStr">
        <is>
          <t>X-05</t>
        </is>
      </c>
      <c r="B9" s="22" t="inlineStr">
        <is>
          <t>FE</t>
        </is>
      </c>
      <c r="C9" s="22" t="inlineStr">
        <is>
          <t>Trang /verify-email, banner chưa xác minh, nút gửi lại</t>
        </is>
      </c>
      <c r="D9" s="22" t="inlineStr">
        <is>
          <t>Khôi</t>
        </is>
      </c>
      <c r="E9" s="22" t="inlineStr">
        <is>
          <t>Review</t>
        </is>
      </c>
      <c r="F9" s="22" t="inlineStr">
        <is>
          <t>Đã làm. Xem S3-29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2026-09-29T03:10:53Z</dcterms:created>
  <dcterms:modified xmlns:dcterms="http://purl.org/dc/terms/" xmlns:xsi="http://www.w3.org/2001/XMLSchema-instance" xsi:type="dcterms:W3CDTF">2026-10-14T14:02:25Z</dcterms:modified>
  <cp:lastModifiedBy>86 LĐN</cp:lastModifiedBy>
  <cp:revision>0</cp:revision>
</cp:coreProperties>
</file>