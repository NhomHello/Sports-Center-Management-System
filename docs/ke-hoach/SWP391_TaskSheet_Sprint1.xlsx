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ask Sprint 1" sheetId="1" state="visible" r:id="rId1"/>
    <sheet xmlns:r="http://schemas.openxmlformats.org/officeDocument/2006/relationships" name="Tổng hợp" sheetId="2" state="visible" r:id="rId2"/>
  </sheets>
  <definedNames>
    <definedName name="_xlnm._FilterDatabase" localSheetId="0" hidden="1">'Task Sprint 1'!$A$4:$L$60</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Arial"/>
      <charset val="1"/>
      <family val="0"/>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595959"/>
      <sz val="11"/>
    </font>
    <font>
      <name val="Times New Roman"/>
      <charset val="1"/>
      <family val="0"/>
      <b val="1"/>
      <color rgb="FFFFFFFF"/>
      <sz val="11"/>
    </font>
    <font>
      <name val="Times New Roman"/>
      <charset val="1"/>
      <family val="0"/>
      <color theme="1"/>
      <sz val="11"/>
    </font>
    <font>
      <name val="Arial"/>
      <charset val="1"/>
      <family val="0"/>
      <b val="1"/>
      <color theme="1"/>
      <sz val="13"/>
    </font>
    <font>
      <name val="Arial"/>
      <charset val="1"/>
      <family val="0"/>
      <b val="1"/>
      <color rgb="FFFFFFFF"/>
      <sz val="11"/>
    </font>
    <font>
      <name val="Arial"/>
      <charset val="1"/>
      <family val="0"/>
      <b val="1"/>
      <color theme="1"/>
      <sz val="11"/>
    </font>
  </fonts>
  <fills count="5">
    <fill>
      <patternFill/>
    </fill>
    <fill>
      <patternFill patternType="gray125"/>
    </fill>
    <fill>
      <patternFill patternType="solid">
        <fgColor rgb="FF1F4E78"/>
        <bgColor rgb="FF003366"/>
      </patternFill>
    </fill>
    <fill>
      <patternFill patternType="solid">
        <fgColor rgb="FFDDEBF7"/>
        <bgColor rgb="FFF2F2F2"/>
      </patternFill>
    </fill>
    <fill>
      <patternFill patternType="solid">
        <fgColor rgb="FFFCE4D6"/>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4" borderId="1" applyAlignment="1" pivotButton="0" quotePrefix="0" xfId="0">
      <alignment horizontal="general" vertical="top"/>
    </xf>
    <xf numFmtId="0" fontId="8" fillId="0" borderId="0" applyAlignment="1" pivotButton="0" quotePrefix="0" xfId="0">
      <alignment horizontal="general" vertical="bottom"/>
    </xf>
    <xf numFmtId="0" fontId="9" fillId="2" borderId="1" applyAlignment="1" pivotButton="0" quotePrefix="0" xfId="0">
      <alignment horizontal="general" vertical="bottom"/>
    </xf>
    <xf numFmtId="0" fontId="0" fillId="0" borderId="1" applyAlignment="1" pivotButton="0" quotePrefix="0" xfId="0">
      <alignment horizontal="general" vertical="bottom"/>
    </xf>
    <xf numFmtId="9" fontId="0" fillId="0" borderId="1"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9"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4" borderId="1" applyAlignment="1" pivotButton="0" quotePrefix="0" xfId="0">
      <alignment horizontal="general" vertical="top"/>
    </xf>
    <xf numFmtId="0" fontId="8" fillId="0" borderId="0" applyAlignment="1" pivotButton="0" quotePrefix="0" xfId="0">
      <alignment horizontal="general" vertical="bottom"/>
    </xf>
    <xf numFmtId="0" fontId="9" fillId="2" borderId="1" applyAlignment="1" pivotButton="0" quotePrefix="0" xfId="0">
      <alignment horizontal="general" vertical="bottom"/>
    </xf>
    <xf numFmtId="0" fontId="0" fillId="0" borderId="1" applyAlignment="1" pivotButton="0" quotePrefix="0" xfId="0">
      <alignment horizontal="general" vertical="bottom"/>
    </xf>
    <xf numFmtId="9" fontId="0" fillId="0" borderId="1" applyAlignment="1" pivotButton="0" quotePrefix="0" xfId="0">
      <alignment horizontal="general" vertical="bottom"/>
    </xf>
    <xf numFmtId="0" fontId="10" fillId="0" borderId="0" applyAlignment="1" pivotButton="0" quotePrefix="0" xfId="0">
      <alignment horizontal="general" vertical="bottom"/>
    </xf>
    <xf numFmtId="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C6EFCE"/>
          <bgColor rgb="FF000000"/>
        </patternFill>
      </fill>
    </dxf>
    <dxf>
      <fill>
        <patternFill>
          <bgColor rgb="FFC6EFCE"/>
        </patternFill>
      </fill>
    </dxf>
    <dxf>
      <fill>
        <patternFill>
          <bgColor rgb="FFDDEBF7"/>
        </patternFill>
      </fill>
    </dxf>
    <dxf>
      <fill>
        <patternFill>
          <bgColor rgb="FFFFEB9C"/>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60"/>
  <sheetViews>
    <sheetView showFormulas="0" showGridLines="1" showRowColHeaders="1" showZeros="1" rightToLeft="0" tabSelected="1"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baseColWidth="8" defaultColWidth="12.6328125" defaultRowHeight="15" customHeight="1" zeroHeight="0" outlineLevelRow="0"/>
  <cols>
    <col width="9" customWidth="1" style="15" min="1" max="1"/>
    <col width="11" customWidth="1" style="15" min="2" max="2"/>
    <col width="42" customWidth="1" style="15" min="3" max="3"/>
    <col width="6" customWidth="1" style="15" min="4" max="4"/>
    <col width="11" customWidth="1" style="15" min="5" max="5"/>
    <col width="9" customWidth="1" style="15" min="6" max="6"/>
    <col width="70" customWidth="1" style="15" min="7" max="7"/>
    <col width="20" customWidth="1" style="15" min="8" max="8"/>
    <col width="11" customWidth="1" style="15" min="9" max="10"/>
    <col width="13" customWidth="1" style="15" min="11" max="11"/>
    <col width="30" customWidth="1" style="15" min="12" max="12"/>
    <col width="8.630000000000001" customWidth="1" style="15" min="13" max="26"/>
  </cols>
  <sheetData>
    <row r="1" ht="17.25" customHeight="1" s="16">
      <c r="A1" s="17" t="inlineStr">
        <is>
          <t>SWP391 – TASK SHEET SPRINT 1 (21/09 → 05/10)</t>
        </is>
      </c>
    </row>
    <row r="2" ht="14.25" customHeight="1" s="16">
      <c r="A2" s="18" t="inlineStr">
        <is>
          <t>BE: Nhanh + Bảo · FE: Khôi + Khải · Business rule lấy từ BUSINESS RULES – TỔNG HỢP · ĐÃ HOÀN THÀNH 100% – mọi task Done, code đã merge vào main (chốt 14/10/2026)</t>
        </is>
      </c>
    </row>
    <row r="3" ht="13.5" customHeight="1" s="16"/>
    <row r="4" ht="13.5" customHeight="1" s="16">
      <c r="A4" s="19" t="inlineStr">
        <is>
          <t>Task ID</t>
        </is>
      </c>
      <c r="B4" s="19" t="inlineStr">
        <is>
          <t>US</t>
        </is>
      </c>
      <c r="C4" s="19" t="inlineStr">
        <is>
          <t>Function / Screen</t>
        </is>
      </c>
      <c r="D4" s="19" t="inlineStr">
        <is>
          <t>Loại</t>
        </is>
      </c>
      <c r="E4" s="19" t="inlineStr">
        <is>
          <t>Người làm</t>
        </is>
      </c>
      <c r="F4" s="19" t="inlineStr">
        <is>
          <t>Level</t>
        </is>
      </c>
      <c r="G4" s="19" t="inlineStr">
        <is>
          <t>Business Rule</t>
        </is>
      </c>
      <c r="H4" s="19" t="inlineStr">
        <is>
          <t>Nhánh</t>
        </is>
      </c>
      <c r="I4" s="19" t="inlineStr">
        <is>
          <t>Bắt đầu</t>
        </is>
      </c>
      <c r="J4" s="19" t="inlineStr">
        <is>
          <t>Hạn</t>
        </is>
      </c>
      <c r="K4" s="19" t="inlineStr">
        <is>
          <t>Trạng thái</t>
        </is>
      </c>
      <c r="L4" s="19" t="inlineStr">
        <is>
          <t>Ghi chú</t>
        </is>
      </c>
    </row>
    <row r="5" ht="54.75" customHeight="1" s="16">
      <c r="A5" s="20" t="inlineStr">
        <is>
          <t>S1-01</t>
        </is>
      </c>
      <c r="B5" s="20" t="inlineStr">
        <is>
          <t>UC-UM-11</t>
        </is>
      </c>
      <c r="C5" s="21" t="inlineStr">
        <is>
          <t>BE – Đăng nhập (màn 1): người dùng nhập email hoặc số điện thoại và mật khẩu; hệ thống xác thực tài khoản, kiểm tra trạng thái và tạo phiên truy cập theo quyền được cấp.</t>
        </is>
      </c>
      <c r="D5" s="22" t="inlineStr">
        <is>
          <t>BE</t>
        </is>
      </c>
      <c r="E5" s="20" t="inlineStr">
        <is>
          <t>Nhanh</t>
        </is>
      </c>
      <c r="F5" s="20" t="inlineStr">
        <is>
          <t>Simple</t>
        </is>
      </c>
      <c r="G5" s="21" t="inlineStr">
        <is>
          <t>BR-1.9: tài khoản bị khoá không đăng nhập được và phiên/token cũ bị từ chối ở request kế tiếp. Email/SĐT được chuẩn hoá theo BR-1.10; sai thông tin trả thông báo chung, không làm lộ tài khoản. Token hết hạn trả 401; thao tác quan trọng ghi audit theo BR-0.2.</t>
        </is>
      </c>
      <c r="H5" s="20" t="inlineStr">
        <is>
          <t>sprint-1/be-nhanh</t>
        </is>
      </c>
      <c r="I5" s="20" t="inlineStr">
        <is>
          <t>21/09/2026</t>
        </is>
      </c>
      <c r="J5" s="20" t="inlineStr">
        <is>
          <t>05/10/2026</t>
        </is>
      </c>
      <c r="K5" s="20" t="inlineStr">
        <is>
          <t>Done</t>
        </is>
      </c>
      <c r="L5" s="21" t="inlineStr">
        <is>
          <t>Đã xong, đã merge main</t>
        </is>
      </c>
    </row>
    <row r="6" ht="54.75" customHeight="1" s="16">
      <c r="A6" s="20" t="inlineStr">
        <is>
          <t>S1-02</t>
        </is>
      </c>
      <c r="B6" s="20" t="inlineStr">
        <is>
          <t>UC-UM-11</t>
        </is>
      </c>
      <c r="C6" s="21" t="inlineStr">
        <is>
          <t>FE – Đăng nhập (màn 1): người dùng nhập email hoặc số điện thoại và mật khẩu; hệ thống xác thực tài khoản, kiểm tra trạng thái và tạo phiên truy cập theo quyền được cấp.</t>
        </is>
      </c>
      <c r="D6" s="23" t="inlineStr">
        <is>
          <t>FE</t>
        </is>
      </c>
      <c r="E6" s="20" t="inlineStr">
        <is>
          <t>Khôi</t>
        </is>
      </c>
      <c r="F6" s="20" t="inlineStr">
        <is>
          <t>Simple</t>
        </is>
      </c>
      <c r="G6" s="21" t="inlineStr">
        <is>
          <t>BR-1.9: tài khoản bị khoá không đăng nhập được và phiên/token cũ bị từ chối ở request kế tiếp. Email/SĐT được chuẩn hoá theo BR-1.10; sai thông tin trả thông báo chung, không làm lộ tài khoản. Token hết hạn trả 401; thao tác quan trọng ghi audit theo BR-0.2.</t>
        </is>
      </c>
      <c r="H6" s="20" t="inlineStr">
        <is>
          <t>sprint-1/fe-khoi</t>
        </is>
      </c>
      <c r="I6" s="20" t="inlineStr">
        <is>
          <t>21/09/2026</t>
        </is>
      </c>
      <c r="J6" s="20" t="inlineStr">
        <is>
          <t>05/10/2026</t>
        </is>
      </c>
      <c r="K6" s="20" t="inlineStr">
        <is>
          <t>Done</t>
        </is>
      </c>
      <c r="L6" s="21" t="inlineStr">
        <is>
          <t>Đã xong, đã merge main</t>
        </is>
      </c>
    </row>
    <row r="7" ht="54.75" customHeight="1" s="16">
      <c r="A7" s="20" t="inlineStr">
        <is>
          <t>S1-03</t>
        </is>
      </c>
      <c r="B7" s="20" t="inlineStr">
        <is>
          <t>UC-UM-11</t>
        </is>
      </c>
      <c r="C7" s="21" t="inlineStr">
        <is>
          <t>BE – Đăng xuất / nạp quyền (màn 2): kết thúc phiên hiện tại và nạp role/permission hiện hành để màn hình/API quyết định thao tác được phép.</t>
        </is>
      </c>
      <c r="D7" s="22" t="inlineStr">
        <is>
          <t>BE</t>
        </is>
      </c>
      <c r="E7" s="20" t="inlineStr">
        <is>
          <t>Nhanh</t>
        </is>
      </c>
      <c r="F7" s="20" t="inlineStr">
        <is>
          <t>Simple</t>
        </is>
      </c>
      <c r="G7" s="21" t="inlineStr">
        <is>
          <t>Role/permission phải đọc từ DB hoặc cache theo request, không hard-code trong token. Quyền bị thu hồi có hiệu lực ở request kế tiếp và trả 403; logout phải kết thúc phiên hiện tại, không giữ quyền sau khi đăng xuất.</t>
        </is>
      </c>
      <c r="H7" s="20" t="inlineStr">
        <is>
          <t>sprint-1/be-nhanh</t>
        </is>
      </c>
      <c r="I7" s="20" t="inlineStr">
        <is>
          <t>21/09/2026</t>
        </is>
      </c>
      <c r="J7" s="20" t="inlineStr">
        <is>
          <t>05/10/2026</t>
        </is>
      </c>
      <c r="K7" s="20" t="inlineStr">
        <is>
          <t>Done</t>
        </is>
      </c>
      <c r="L7" s="21" t="inlineStr">
        <is>
          <t>Đã xong, đã merge main</t>
        </is>
      </c>
    </row>
    <row r="8" ht="54.75" customHeight="1" s="16">
      <c r="A8" s="20" t="inlineStr">
        <is>
          <t>S1-04</t>
        </is>
      </c>
      <c r="B8" s="20" t="inlineStr">
        <is>
          <t>UC-UM-11</t>
        </is>
      </c>
      <c r="C8" s="21" t="inlineStr">
        <is>
          <t>FE – Đăng xuất / nạp quyền (màn 2): kết thúc phiên hiện tại và nạp role/permission hiện hành để màn hình/API quyết định thao tác được phép.</t>
        </is>
      </c>
      <c r="D8" s="23" t="inlineStr">
        <is>
          <t>FE</t>
        </is>
      </c>
      <c r="E8" s="20" t="inlineStr">
        <is>
          <t>Khôi</t>
        </is>
      </c>
      <c r="F8" s="20" t="inlineStr">
        <is>
          <t>Simple</t>
        </is>
      </c>
      <c r="G8" s="21" t="inlineStr">
        <is>
          <t>Role/permission phải đọc từ DB hoặc cache theo request, không hard-code trong token. Quyền bị thu hồi có hiệu lực ở request kế tiếp và trả 403; logout phải kết thúc phiên hiện tại, không giữ quyền sau khi đăng xuất.</t>
        </is>
      </c>
      <c r="H8" s="20" t="inlineStr">
        <is>
          <t>sprint-1/fe-khoi</t>
        </is>
      </c>
      <c r="I8" s="20" t="inlineStr">
        <is>
          <t>21/09/2026</t>
        </is>
      </c>
      <c r="J8" s="20" t="inlineStr">
        <is>
          <t>05/10/2026</t>
        </is>
      </c>
      <c r="K8" s="20" t="inlineStr">
        <is>
          <t>Done</t>
        </is>
      </c>
      <c r="L8" s="21" t="inlineStr">
        <is>
          <t>Đã xong, đã merge main</t>
        </is>
      </c>
    </row>
    <row r="9" ht="54.75" customHeight="1" s="16">
      <c r="A9" s="20" t="inlineStr">
        <is>
          <t>S1-05</t>
        </is>
      </c>
      <c r="B9" s="20" t="inlineStr">
        <is>
          <t>UC-UM-09</t>
        </is>
      </c>
      <c r="C9" s="21" t="inlineStr">
        <is>
          <t>BE – Danh sách tài khoản (màn 8): người có quyền quản trị xem, tìm và lọc tài khoản theo tên, email/SĐT, role và trạng thái ACTIVE/LOCKED.</t>
        </is>
      </c>
      <c r="D9" s="22" t="inlineStr">
        <is>
          <t>BE</t>
        </is>
      </c>
      <c r="E9" s="20" t="inlineStr">
        <is>
          <t>Nhanh</t>
        </is>
      </c>
      <c r="F9" s="20" t="inlineStr">
        <is>
          <t>Simple</t>
        </is>
      </c>
      <c r="G9" s="21" t="inlineStr">
        <is>
          <t>Chỉ người có permission user.read/user.manage được xem. Hiển thị tên, email/SĐT đã chuẩn hoá, role và trạng thái ACTIVE/LOCKED; tài khoản đã phát sinh dữ liệu không được xoá cứng, thay đổi quan trọng ghi audit theo BR-0.1/0.2.</t>
        </is>
      </c>
      <c r="H9" s="20" t="inlineStr">
        <is>
          <t>sprint-1/be-nhanh</t>
        </is>
      </c>
      <c r="I9" s="20" t="inlineStr">
        <is>
          <t>21/09/2026</t>
        </is>
      </c>
      <c r="J9" s="20" t="inlineStr">
        <is>
          <t>05/10/2026</t>
        </is>
      </c>
      <c r="K9" s="20" t="inlineStr">
        <is>
          <t>Done</t>
        </is>
      </c>
      <c r="L9" s="21" t="inlineStr">
        <is>
          <t>Đã xong, đã merge main</t>
        </is>
      </c>
    </row>
    <row r="10" ht="54.75" customHeight="1" s="16">
      <c r="A10" s="20" t="inlineStr">
        <is>
          <t>S1-06</t>
        </is>
      </c>
      <c r="B10" s="20" t="inlineStr">
        <is>
          <t>UC-UM-09</t>
        </is>
      </c>
      <c r="C10" s="21" t="inlineStr">
        <is>
          <t>FE – Danh sách tài khoản (màn 8): người có quyền quản trị xem, tìm và lọc tài khoản theo tên, email/SĐT, role và trạng thái ACTIVE/LOCKED.</t>
        </is>
      </c>
      <c r="D10" s="23" t="inlineStr">
        <is>
          <t>FE</t>
        </is>
      </c>
      <c r="E10" s="20" t="inlineStr">
        <is>
          <t>Khôi</t>
        </is>
      </c>
      <c r="F10" s="20" t="inlineStr">
        <is>
          <t>Simple</t>
        </is>
      </c>
      <c r="G10" s="21" t="inlineStr">
        <is>
          <t>Chỉ người có permission user.read/user.manage được xem. Hiển thị tên, email/SĐT đã chuẩn hoá, role và trạng thái ACTIVE/LOCKED; tài khoản đã phát sinh dữ liệu không được xoá cứng, thay đổi quan trọng ghi audit theo BR-0.1/0.2.</t>
        </is>
      </c>
      <c r="H10" s="20" t="inlineStr">
        <is>
          <t>sprint-1/fe-khoi</t>
        </is>
      </c>
      <c r="I10" s="20" t="inlineStr">
        <is>
          <t>21/09/2026</t>
        </is>
      </c>
      <c r="J10" s="20" t="inlineStr">
        <is>
          <t>05/10/2026</t>
        </is>
      </c>
      <c r="K10" s="20" t="inlineStr">
        <is>
          <t>Done</t>
        </is>
      </c>
      <c r="L10" s="21" t="inlineStr">
        <is>
          <t>Đã xong, đã merge main</t>
        </is>
      </c>
    </row>
    <row r="11" ht="54.75" customHeight="1" s="16">
      <c r="A11" s="20" t="inlineStr">
        <is>
          <t>S1-07</t>
        </is>
      </c>
      <c r="B11" s="20" t="inlineStr">
        <is>
          <t>UC-UM-09</t>
        </is>
      </c>
      <c r="C11" s="21" t="inlineStr">
        <is>
          <t>BE – Tạo tài khoản nhân viên (màn 8): Manager nhập thông tin nhân viên, tạo tài khoản và gán role phù hợp để nhân viên có thể đăng nhập và sử dụng chức năng được cấp.</t>
        </is>
      </c>
      <c r="D11" s="22" t="inlineStr">
        <is>
          <t>BE</t>
        </is>
      </c>
      <c r="E11" s="20" t="inlineStr">
        <is>
          <t>Nhanh</t>
        </is>
      </c>
      <c r="F11" s="20" t="inlineStr">
        <is>
          <t>Simple</t>
        </is>
      </c>
      <c r="G11" s="21" t="inlineStr">
        <is>
          <t>BR-1.1/1.10: email và SĐT duy nhất, email chuẩn hoá, SĐT đúng định dạng Việt Nam. Chỉ Manager tạo tài khoản nhân viên và gán role hợp lệ; tài khoản nhân viên không được tự cấp quyền; dữ liệu đăng nhập phải được xử lý an toàn.</t>
        </is>
      </c>
      <c r="H11" s="20" t="inlineStr">
        <is>
          <t>sprint-1/be-nhanh</t>
        </is>
      </c>
      <c r="I11" s="20" t="inlineStr">
        <is>
          <t>21/09/2026</t>
        </is>
      </c>
      <c r="J11" s="20" t="inlineStr">
        <is>
          <t>05/10/2026</t>
        </is>
      </c>
      <c r="K11" s="20" t="inlineStr">
        <is>
          <t>Done</t>
        </is>
      </c>
      <c r="L11" s="21" t="inlineStr">
        <is>
          <t>Đã xong, đã merge main</t>
        </is>
      </c>
    </row>
    <row r="12" ht="54.75" customHeight="1" s="16">
      <c r="A12" s="20" t="inlineStr">
        <is>
          <t>S1-08</t>
        </is>
      </c>
      <c r="B12" s="20" t="inlineStr">
        <is>
          <t>UC-UM-09</t>
        </is>
      </c>
      <c r="C12" s="21" t="inlineStr">
        <is>
          <t>FE – Tạo tài khoản nhân viên (màn 8): Manager nhập thông tin nhân viên, tạo tài khoản và gán role phù hợp để nhân viên có thể đăng nhập và sử dụng chức năng được cấp.</t>
        </is>
      </c>
      <c r="D12" s="23" t="inlineStr">
        <is>
          <t>FE</t>
        </is>
      </c>
      <c r="E12" s="20" t="inlineStr">
        <is>
          <t>Khôi</t>
        </is>
      </c>
      <c r="F12" s="20" t="inlineStr">
        <is>
          <t>Simple</t>
        </is>
      </c>
      <c r="G12" s="21" t="inlineStr">
        <is>
          <t>BR-1.1/1.10: email và SĐT duy nhất, email chuẩn hoá, SĐT đúng định dạng Việt Nam. Chỉ Manager tạo tài khoản nhân viên và gán role hợp lệ; tài khoản nhân viên không được tự cấp quyền; dữ liệu đăng nhập phải được xử lý an toàn.</t>
        </is>
      </c>
      <c r="H12" s="20" t="inlineStr">
        <is>
          <t>sprint-1/fe-khoi</t>
        </is>
      </c>
      <c r="I12" s="20" t="inlineStr">
        <is>
          <t>21/09/2026</t>
        </is>
      </c>
      <c r="J12" s="20" t="inlineStr">
        <is>
          <t>05/10/2026</t>
        </is>
      </c>
      <c r="K12" s="20" t="inlineStr">
        <is>
          <t>Done</t>
        </is>
      </c>
      <c r="L12" s="21" t="inlineStr">
        <is>
          <t>Đã xong, đã merge main</t>
        </is>
      </c>
    </row>
    <row r="13" ht="54.75" customHeight="1" s="16">
      <c r="A13" s="20" t="inlineStr">
        <is>
          <t>S1-09</t>
        </is>
      </c>
      <c r="B13" s="20" t="inlineStr">
        <is>
          <t>UC-UM-09</t>
        </is>
      </c>
      <c r="C13" s="21" t="inlineStr">
        <is>
          <t>BE – Khoá / đổi role tài khoản (màn 8): Manager khoá/mở khoá tài khoản hoặc thay đổi role; hệ thống cập nhật quyền và trạng thái truy cập của tài khoản.</t>
        </is>
      </c>
      <c r="D13" s="22" t="inlineStr">
        <is>
          <t>BE</t>
        </is>
      </c>
      <c r="E13" s="20" t="inlineStr">
        <is>
          <t>Nhanh</t>
        </is>
      </c>
      <c r="F13" s="20" t="inlineStr">
        <is>
          <t>Medium</t>
        </is>
      </c>
      <c r="G13" s="21" t="inlineStr">
        <is>
          <t>Chỉ Manager có quyền và không được tự khoá/đổi role chính mình. BR-1.9: khoá tài khoản thì request sau bị từ chối; coach đang dạy lớp OPEN phải chuyển lớp trước theo BR-2.13; không xoá cứng và phải ghi audit người thực hiện, thời điểm, thay đổi theo BR-0.1/0.2.</t>
        </is>
      </c>
      <c r="H13" s="20" t="inlineStr">
        <is>
          <t>sprint-1/be-nhanh</t>
        </is>
      </c>
      <c r="I13" s="20" t="inlineStr">
        <is>
          <t>21/09/2026</t>
        </is>
      </c>
      <c r="J13" s="20" t="inlineStr">
        <is>
          <t>05/10/2026</t>
        </is>
      </c>
      <c r="K13" s="20" t="inlineStr">
        <is>
          <t>Done</t>
        </is>
      </c>
      <c r="L13" s="21" t="inlineStr">
        <is>
          <t>Đã xong, đã merge main</t>
        </is>
      </c>
    </row>
    <row r="14" ht="54.75" customHeight="1" s="16">
      <c r="A14" s="20" t="inlineStr">
        <is>
          <t>S1-10</t>
        </is>
      </c>
      <c r="B14" s="20" t="inlineStr">
        <is>
          <t>UC-UM-09</t>
        </is>
      </c>
      <c r="C14" s="21" t="inlineStr">
        <is>
          <t>FE – Khoá / đổi role tài khoản (màn 8): Manager khoá/mở khoá tài khoản hoặc thay đổi role; hệ thống cập nhật quyền và trạng thái truy cập của tài khoản.</t>
        </is>
      </c>
      <c r="D14" s="23" t="inlineStr">
        <is>
          <t>FE</t>
        </is>
      </c>
      <c r="E14" s="20" t="inlineStr">
        <is>
          <t>Khôi</t>
        </is>
      </c>
      <c r="F14" s="20" t="inlineStr">
        <is>
          <t>Medium</t>
        </is>
      </c>
      <c r="G14" s="21" t="inlineStr">
        <is>
          <t>Chỉ Manager có quyền và không được tự khoá/đổi role chính mình. BR-1.9: khoá tài khoản thì request sau bị từ chối; coach đang dạy lớp OPEN phải chuyển lớp trước theo BR-2.13; không xoá cứng và phải ghi audit người thực hiện, thời điểm, thay đổi theo BR-0.1/0.2.</t>
        </is>
      </c>
      <c r="H14" s="20" t="inlineStr">
        <is>
          <t>sprint-1/fe-khoi</t>
        </is>
      </c>
      <c r="I14" s="20" t="inlineStr">
        <is>
          <t>21/09/2026</t>
        </is>
      </c>
      <c r="J14" s="20" t="inlineStr">
        <is>
          <t>05/10/2026</t>
        </is>
      </c>
      <c r="K14" s="20" t="inlineStr">
        <is>
          <t>Done</t>
        </is>
      </c>
      <c r="L14" s="21" t="inlineStr">
        <is>
          <t>Đã xong, đã merge main</t>
        </is>
      </c>
    </row>
    <row r="15" ht="54.75" customHeight="1" s="16">
      <c r="A15" s="20" t="inlineStr">
        <is>
          <t>S1-11</t>
        </is>
      </c>
      <c r="B15" s="20" t="inlineStr">
        <is>
          <t>UC-UM-18</t>
        </is>
      </c>
      <c r="C15" s="21" t="inlineStr">
        <is>
          <t>BE – Danh sách role và ma trận quyền (màn 8): hiển thị các role, permission thuộc từng role và role mặc định dùng cho đăng ký tài khoản mới.</t>
        </is>
      </c>
      <c r="D15" s="22" t="inlineStr">
        <is>
          <t>BE</t>
        </is>
      </c>
      <c r="E15" s="20" t="inlineStr">
        <is>
          <t>Nhanh</t>
        </is>
      </c>
      <c r="F15" s="20" t="inlineStr">
        <is>
          <t>Simple</t>
        </is>
      </c>
      <c r="G15" s="21" t="inlineStr">
        <is>
          <t>Chỉ Manager hoặc permission role.read được xem ma trận. Ma trận phải phản ánh role/permission đang lưu và role mặc định hiện hành; quyền bị thu hồi có hiệu lực ở request kế tiếp.</t>
        </is>
      </c>
      <c r="H15" s="20" t="inlineStr">
        <is>
          <t>sprint-1/be-nhanh</t>
        </is>
      </c>
      <c r="I15" s="20" t="inlineStr">
        <is>
          <t>21/09/2026</t>
        </is>
      </c>
      <c r="J15" s="20" t="inlineStr">
        <is>
          <t>05/10/2026</t>
        </is>
      </c>
      <c r="K15" s="20" t="inlineStr">
        <is>
          <t>Done</t>
        </is>
      </c>
      <c r="L15" s="21" t="inlineStr">
        <is>
          <t>Đã xong, đã merge main</t>
        </is>
      </c>
    </row>
    <row r="16" ht="54.75" customHeight="1" s="16">
      <c r="A16" s="20" t="inlineStr">
        <is>
          <t>S1-12</t>
        </is>
      </c>
      <c r="B16" s="20" t="inlineStr">
        <is>
          <t>UC-UM-18</t>
        </is>
      </c>
      <c r="C16" s="21" t="inlineStr">
        <is>
          <t>FE – Danh sách role và ma trận quyền (màn 8): hiển thị các role, permission thuộc từng role và role mặc định dùng cho đăng ký tài khoản mới.</t>
        </is>
      </c>
      <c r="D16" s="23" t="inlineStr">
        <is>
          <t>FE</t>
        </is>
      </c>
      <c r="E16" s="20" t="inlineStr">
        <is>
          <t>Khôi</t>
        </is>
      </c>
      <c r="F16" s="20" t="inlineStr">
        <is>
          <t>Simple</t>
        </is>
      </c>
      <c r="G16" s="21" t="inlineStr">
        <is>
          <t>Chỉ Manager hoặc permission role.read được xem ma trận. Ma trận phải phản ánh role/permission đang lưu và role mặc định hiện hành; quyền bị thu hồi có hiệu lực ở request kế tiếp.</t>
        </is>
      </c>
      <c r="H16" s="20" t="inlineStr">
        <is>
          <t>sprint-1/fe-khoi</t>
        </is>
      </c>
      <c r="I16" s="20" t="inlineStr">
        <is>
          <t>21/09/2026</t>
        </is>
      </c>
      <c r="J16" s="20" t="inlineStr">
        <is>
          <t>05/10/2026</t>
        </is>
      </c>
      <c r="K16" s="20" t="inlineStr">
        <is>
          <t>Done</t>
        </is>
      </c>
      <c r="L16" s="21" t="inlineStr">
        <is>
          <t>Đã xong, đã merge main</t>
        </is>
      </c>
    </row>
    <row r="17" ht="54.75" customHeight="1" s="16">
      <c r="A17" s="20" t="inlineStr">
        <is>
          <t>S1-13</t>
        </is>
      </c>
      <c r="B17" s="20" t="inlineStr">
        <is>
          <t>UC-UM-18</t>
        </is>
      </c>
      <c r="C17" s="21" t="inlineStr">
        <is>
          <t>BE – Tạo / sửa role, gán quyền (màn 8): Manager tạo hoặc cập nhật role, chọn các permission hợp lệ và lưu ma trận quyền áp dụng cho người dùng.</t>
        </is>
      </c>
      <c r="D17" s="22" t="inlineStr">
        <is>
          <t>BE</t>
        </is>
      </c>
      <c r="E17" s="20" t="inlineStr">
        <is>
          <t>Nhanh</t>
        </is>
      </c>
      <c r="F17" s="20" t="inlineStr">
        <is>
          <t>Simple</t>
        </is>
      </c>
      <c r="G17" s="21" t="inlineStr">
        <is>
          <t>Mã permission phải thuộc registry, mỗi role có tên duy nhất. Thay đổi có hiệu lực từ request kế tiếp, không cần đăng nhập lại; không cho gán quyền vượt phạm vi người thao tác và ghi audit giá trị cũ/mới theo BR-0.2.</t>
        </is>
      </c>
      <c r="H17" s="20" t="inlineStr">
        <is>
          <t>sprint-1/be-nhanh</t>
        </is>
      </c>
      <c r="I17" s="20" t="inlineStr">
        <is>
          <t>21/09/2026</t>
        </is>
      </c>
      <c r="J17" s="20" t="inlineStr">
        <is>
          <t>05/10/2026</t>
        </is>
      </c>
      <c r="K17" s="20" t="inlineStr">
        <is>
          <t>Done</t>
        </is>
      </c>
      <c r="L17" s="21" t="inlineStr">
        <is>
          <t>Đã xong, đã merge main</t>
        </is>
      </c>
    </row>
    <row r="18" ht="54.75" customHeight="1" s="16">
      <c r="A18" s="20" t="inlineStr">
        <is>
          <t>S1-14</t>
        </is>
      </c>
      <c r="B18" s="20" t="inlineStr">
        <is>
          <t>UC-UM-18</t>
        </is>
      </c>
      <c r="C18" s="21" t="inlineStr">
        <is>
          <t>FE – Tạo / sửa role, gán quyền (màn 8): Manager tạo hoặc cập nhật role, chọn các permission hợp lệ và lưu ma trận quyền áp dụng cho người dùng.</t>
        </is>
      </c>
      <c r="D18" s="23" t="inlineStr">
        <is>
          <t>FE</t>
        </is>
      </c>
      <c r="E18" s="20" t="inlineStr">
        <is>
          <t>Khôi</t>
        </is>
      </c>
      <c r="F18" s="20" t="inlineStr">
        <is>
          <t>Simple</t>
        </is>
      </c>
      <c r="G18" s="21" t="inlineStr">
        <is>
          <t>Mã permission phải thuộc registry, mỗi role có tên duy nhất. Thay đổi có hiệu lực từ request kế tiếp, không cần đăng nhập lại; không cho gán quyền vượt phạm vi người thao tác và ghi audit giá trị cũ/mới theo BR-0.2.</t>
        </is>
      </c>
      <c r="H18" s="20" t="inlineStr">
        <is>
          <t>sprint-1/fe-khoi</t>
        </is>
      </c>
      <c r="I18" s="20" t="inlineStr">
        <is>
          <t>21/09/2026</t>
        </is>
      </c>
      <c r="J18" s="20" t="inlineStr">
        <is>
          <t>05/10/2026</t>
        </is>
      </c>
      <c r="K18" s="20" t="inlineStr">
        <is>
          <t>Done</t>
        </is>
      </c>
      <c r="L18" s="21" t="inlineStr">
        <is>
          <t>Đã xong, đã merge main</t>
        </is>
      </c>
    </row>
    <row r="19" ht="54.75" customHeight="1" s="16">
      <c r="A19" s="20" t="inlineStr">
        <is>
          <t>S1-15</t>
        </is>
      </c>
      <c r="B19" s="20" t="inlineStr">
        <is>
          <t>UC-UM-18</t>
        </is>
      </c>
      <c r="C19" s="21" t="inlineStr">
        <is>
          <t>BE – Xoá role / đặt mặc định (màn 8): Manager ngừng sử dụng role không còn cần thiết và chọn role mặc định cho tài khoản tự đăng ký.</t>
        </is>
      </c>
      <c r="D19" s="22" t="inlineStr">
        <is>
          <t>BE</t>
        </is>
      </c>
      <c r="E19" s="20" t="inlineStr">
        <is>
          <t>Nhanh</t>
        </is>
      </c>
      <c r="F19" s="20" t="inlineStr">
        <is>
          <t>Medium</t>
        </is>
      </c>
      <c r="G19" s="21" t="inlineStr">
        <is>
          <t>Role hệ thống hoặc role đang được user tham chiếu không được xoá cứng; dùng ngừng hoạt động theo BR-0.1. Hệ thống phải duy trì đúng một role mặc định cho đăng ký tự do theo BR-1.8 và audit thay đổi.</t>
        </is>
      </c>
      <c r="H19" s="20" t="inlineStr">
        <is>
          <t>sprint-1/be-nhanh</t>
        </is>
      </c>
      <c r="I19" s="20" t="inlineStr">
        <is>
          <t>21/09/2026</t>
        </is>
      </c>
      <c r="J19" s="20" t="inlineStr">
        <is>
          <t>05/10/2026</t>
        </is>
      </c>
      <c r="K19" s="20" t="inlineStr">
        <is>
          <t>Done</t>
        </is>
      </c>
      <c r="L19" s="21" t="inlineStr">
        <is>
          <t>Đã xong, đã merge main</t>
        </is>
      </c>
    </row>
    <row r="20" ht="54.75" customHeight="1" s="16">
      <c r="A20" s="20" t="inlineStr">
        <is>
          <t>S1-16</t>
        </is>
      </c>
      <c r="B20" s="20" t="inlineStr">
        <is>
          <t>UC-UM-18</t>
        </is>
      </c>
      <c r="C20" s="21" t="inlineStr">
        <is>
          <t>FE – Xoá role / đặt mặc định (màn 8): Manager ngừng sử dụng role không còn cần thiết và chọn role mặc định cho tài khoản tự đăng ký.</t>
        </is>
      </c>
      <c r="D20" s="23" t="inlineStr">
        <is>
          <t>FE</t>
        </is>
      </c>
      <c r="E20" s="20" t="inlineStr">
        <is>
          <t>Khôi</t>
        </is>
      </c>
      <c r="F20" s="20" t="inlineStr">
        <is>
          <t>Medium</t>
        </is>
      </c>
      <c r="G20" s="21" t="inlineStr">
        <is>
          <t>Role hệ thống hoặc role đang được user tham chiếu không được xoá cứng; dùng ngừng hoạt động theo BR-0.1. Hệ thống phải duy trì đúng một role mặc định cho đăng ký tự do theo BR-1.8 và audit thay đổi.</t>
        </is>
      </c>
      <c r="H20" s="20" t="inlineStr">
        <is>
          <t>sprint-1/fe-khoi</t>
        </is>
      </c>
      <c r="I20" s="20" t="inlineStr">
        <is>
          <t>21/09/2026</t>
        </is>
      </c>
      <c r="J20" s="20" t="inlineStr">
        <is>
          <t>05/10/2026</t>
        </is>
      </c>
      <c r="K20" s="20" t="inlineStr">
        <is>
          <t>Done</t>
        </is>
      </c>
      <c r="L20" s="21" t="inlineStr">
        <is>
          <t>Đã xong, đã merge main</t>
        </is>
      </c>
    </row>
    <row r="21" ht="54.75" customHeight="1" s="16">
      <c r="A21" s="20" t="inlineStr">
        <is>
          <t>S1-17</t>
        </is>
      </c>
      <c r="B21" s="20" t="inlineStr">
        <is>
          <t>UC-UM-01</t>
        </is>
      </c>
      <c r="C21" s="21" t="inlineStr">
        <is>
          <t>BE – Đăng ký tài khoản (màn 1): người dùng nhập thông tin định danh và mật khẩu; hệ thống tạo tài khoản Member, gán role mặc định và báo kết quả đăng ký.</t>
        </is>
      </c>
      <c r="D21" s="22" t="inlineStr">
        <is>
          <t>BE</t>
        </is>
      </c>
      <c r="E21" s="20" t="inlineStr">
        <is>
          <t>Nhanh</t>
        </is>
      </c>
      <c r="F21" s="20" t="inlineStr">
        <is>
          <t>Simple</t>
        </is>
      </c>
      <c r="G21" s="21" t="inlineStr">
        <is>
          <t>BR-1.1/1.10: email/SĐT duy nhất và chuẩn hoá; mật khẩu tối thiểu 8 ký tự, lưu dạng mã hoá theo BR-1.7. Người đăng ký không chọn role; hệ thống gán role mặc định trong DB theo BR-1.8; dữ liệu trùng phải báo rõ.</t>
        </is>
      </c>
      <c r="H21" s="20" t="inlineStr">
        <is>
          <t>sprint-1/be-nhanh</t>
        </is>
      </c>
      <c r="I21" s="20" t="inlineStr">
        <is>
          <t>21/09/2026</t>
        </is>
      </c>
      <c r="J21" s="20" t="inlineStr">
        <is>
          <t>05/10/2026</t>
        </is>
      </c>
      <c r="K21" s="20" t="inlineStr">
        <is>
          <t>Done</t>
        </is>
      </c>
      <c r="L21" s="21" t="inlineStr">
        <is>
          <t>Đã xong, đã merge main</t>
        </is>
      </c>
    </row>
    <row r="22" ht="54.75" customHeight="1" s="16">
      <c r="A22" s="20" t="inlineStr">
        <is>
          <t>S1-18</t>
        </is>
      </c>
      <c r="B22" s="20" t="inlineStr">
        <is>
          <t>UC-UM-01</t>
        </is>
      </c>
      <c r="C22" s="21" t="inlineStr">
        <is>
          <t>FE – Đăng ký tài khoản (màn 1): người dùng nhập thông tin định danh và mật khẩu; hệ thống tạo tài khoản Member, gán role mặc định và báo kết quả đăng ký.</t>
        </is>
      </c>
      <c r="D22" s="23" t="inlineStr">
        <is>
          <t>FE</t>
        </is>
      </c>
      <c r="E22" s="20" t="inlineStr">
        <is>
          <t>Khôi</t>
        </is>
      </c>
      <c r="F22" s="20" t="inlineStr">
        <is>
          <t>Simple</t>
        </is>
      </c>
      <c r="G22" s="21" t="inlineStr">
        <is>
          <t>BR-1.1/1.10: email/SĐT duy nhất và chuẩn hoá; mật khẩu tối thiểu 8 ký tự, lưu dạng mã hoá theo BR-1.7. Người đăng ký không chọn role; hệ thống gán role mặc định trong DB theo BR-1.8; dữ liệu trùng phải báo rõ.</t>
        </is>
      </c>
      <c r="H22" s="20" t="inlineStr">
        <is>
          <t>sprint-1/fe-khoi</t>
        </is>
      </c>
      <c r="I22" s="20" t="inlineStr">
        <is>
          <t>21/09/2026</t>
        </is>
      </c>
      <c r="J22" s="20" t="inlineStr">
        <is>
          <t>05/10/2026</t>
        </is>
      </c>
      <c r="K22" s="20" t="inlineStr">
        <is>
          <t>Done</t>
        </is>
      </c>
      <c r="L22" s="21" t="inlineStr">
        <is>
          <t>Đã xong, đã merge main</t>
        </is>
      </c>
    </row>
    <row r="23" ht="54.75" customHeight="1" s="16">
      <c r="A23" s="20" t="inlineStr">
        <is>
          <t>S1-19</t>
        </is>
      </c>
      <c r="B23" s="20" t="inlineStr">
        <is>
          <t>UC-UM-13</t>
        </is>
      </c>
      <c r="C23" s="21" t="inlineStr">
        <is>
          <t>BE – Đổi mật khẩu (màn S20): người dùng nhập mật khẩu hiện tại và mật khẩu mới; hệ thống kiểm tra mật khẩu cũ rồi cập nhật mật khẩu mới an toàn.</t>
        </is>
      </c>
      <c r="D23" s="22" t="inlineStr">
        <is>
          <t>BE</t>
        </is>
      </c>
      <c r="E23" s="20" t="inlineStr">
        <is>
          <t>Nhanh</t>
        </is>
      </c>
      <c r="F23" s="20" t="inlineStr">
        <is>
          <t>Medium</t>
        </is>
      </c>
      <c r="G23" s="21" t="inlineStr">
        <is>
          <t>Phải nhập đúng mật khẩu cũ; mật khẩu mới tối thiểu 8 ký tự và được mã hoá theo BR-1.7. Không ghi mật khẩu vào log; phiên/token cũ được xử lý theo chính sách bảo mật và thao tác đổi mật khẩu được audit.</t>
        </is>
      </c>
      <c r="H23" s="20" t="inlineStr">
        <is>
          <t>sprint-1/be-nhanh</t>
        </is>
      </c>
      <c r="I23" s="20" t="inlineStr">
        <is>
          <t>21/09/2026</t>
        </is>
      </c>
      <c r="J23" s="20" t="inlineStr">
        <is>
          <t>05/10/2026</t>
        </is>
      </c>
      <c r="K23" s="20" t="inlineStr">
        <is>
          <t>Done</t>
        </is>
      </c>
      <c r="L23" s="21" t="inlineStr">
        <is>
          <t>Đã xong, đã merge main</t>
        </is>
      </c>
    </row>
    <row r="24" ht="54.75" customHeight="1" s="16">
      <c r="A24" s="20" t="inlineStr">
        <is>
          <t>S1-20</t>
        </is>
      </c>
      <c r="B24" s="20" t="inlineStr">
        <is>
          <t>UC-UM-13</t>
        </is>
      </c>
      <c r="C24" s="21" t="inlineStr">
        <is>
          <t>FE – Đổi mật khẩu (màn S20): người dùng nhập mật khẩu hiện tại và mật khẩu mới; hệ thống kiểm tra mật khẩu cũ rồi cập nhật mật khẩu mới an toàn.</t>
        </is>
      </c>
      <c r="D24" s="23" t="inlineStr">
        <is>
          <t>FE</t>
        </is>
      </c>
      <c r="E24" s="20" t="inlineStr">
        <is>
          <t>Khôi</t>
        </is>
      </c>
      <c r="F24" s="20" t="inlineStr">
        <is>
          <t>Medium</t>
        </is>
      </c>
      <c r="G24" s="21" t="inlineStr">
        <is>
          <t>Phải nhập đúng mật khẩu cũ; mật khẩu mới tối thiểu 8 ký tự và được mã hoá theo BR-1.7. Không ghi mật khẩu vào log; phiên/token cũ được xử lý theo chính sách bảo mật và thao tác đổi mật khẩu được audit.</t>
        </is>
      </c>
      <c r="H24" s="20" t="inlineStr">
        <is>
          <t>sprint-1/fe-khoi</t>
        </is>
      </c>
      <c r="I24" s="20" t="inlineStr">
        <is>
          <t>21/09/2026</t>
        </is>
      </c>
      <c r="J24" s="20" t="inlineStr">
        <is>
          <t>05/10/2026</t>
        </is>
      </c>
      <c r="K24" s="20" t="inlineStr">
        <is>
          <t>Done</t>
        </is>
      </c>
      <c r="L24" s="21" t="inlineStr">
        <is>
          <t>Đã xong, đã merge main</t>
        </is>
      </c>
    </row>
    <row r="25" ht="54.75" customHeight="1" s="16">
      <c r="A25" s="20" t="inlineStr">
        <is>
          <t>S1-21</t>
        </is>
      </c>
      <c r="B25" s="20" t="inlineStr">
        <is>
          <t>UC-UM-02</t>
        </is>
      </c>
      <c r="C25" s="21" t="inlineStr">
        <is>
          <t>BE – Xem hồ sơ cá nhân (màn 3): người dùng xem thông tin liên hệ, trạng thái tài khoản và membership của chính tài khoản đang đăng nhập.</t>
        </is>
      </c>
      <c r="D25" s="22" t="inlineStr">
        <is>
          <t>BE</t>
        </is>
      </c>
      <c r="E25" s="20" t="inlineStr">
        <is>
          <t>Nhanh</t>
        </is>
      </c>
      <c r="F25" s="20" t="inlineStr">
        <is>
          <t>Simple</t>
        </is>
      </c>
      <c r="G25" s="21" t="inlineStr">
        <is>
          <t>Chỉ trả hồ sơ của tài khoản đang đăng nhập: thông tin liên hệ, trạng thái và membership của chính người đó. Khi chỉ có read_own thì không được đọc hồ sơ khác; dữ liệu nhạy cảm phải tuân thủ permission.</t>
        </is>
      </c>
      <c r="H25" s="20" t="inlineStr">
        <is>
          <t>sprint-1/be-nhanh</t>
        </is>
      </c>
      <c r="I25" s="20" t="inlineStr">
        <is>
          <t>21/09/2026</t>
        </is>
      </c>
      <c r="J25" s="20" t="inlineStr">
        <is>
          <t>05/10/2026</t>
        </is>
      </c>
      <c r="K25" s="20" t="inlineStr">
        <is>
          <t>Done</t>
        </is>
      </c>
      <c r="L25" s="21" t="inlineStr">
        <is>
          <t>Đã xong, đã merge main</t>
        </is>
      </c>
    </row>
    <row r="26" ht="54.75" customHeight="1" s="16">
      <c r="A26" s="20" t="inlineStr">
        <is>
          <t>S1-22</t>
        </is>
      </c>
      <c r="B26" s="20" t="inlineStr">
        <is>
          <t>UC-UM-02</t>
        </is>
      </c>
      <c r="C26" s="21" t="inlineStr">
        <is>
          <t>FE – Xem hồ sơ cá nhân (màn 3): người dùng xem thông tin liên hệ, trạng thái tài khoản và membership của chính tài khoản đang đăng nhập.</t>
        </is>
      </c>
      <c r="D26" s="23" t="inlineStr">
        <is>
          <t>FE</t>
        </is>
      </c>
      <c r="E26" s="20" t="inlineStr">
        <is>
          <t>Khôi</t>
        </is>
      </c>
      <c r="F26" s="20" t="inlineStr">
        <is>
          <t>Simple</t>
        </is>
      </c>
      <c r="G26" s="21" t="inlineStr">
        <is>
          <t>Chỉ trả hồ sơ của tài khoản đang đăng nhập: thông tin liên hệ, trạng thái và membership của chính người đó. Khi chỉ có read_own thì không được đọc hồ sơ khác; dữ liệu nhạy cảm phải tuân thủ permission.</t>
        </is>
      </c>
      <c r="H26" s="20" t="inlineStr">
        <is>
          <t>sprint-1/fe-khoi</t>
        </is>
      </c>
      <c r="I26" s="20" t="inlineStr">
        <is>
          <t>21/09/2026</t>
        </is>
      </c>
      <c r="J26" s="20" t="inlineStr">
        <is>
          <t>05/10/2026</t>
        </is>
      </c>
      <c r="K26" s="20" t="inlineStr">
        <is>
          <t>Done</t>
        </is>
      </c>
      <c r="L26" s="21" t="inlineStr">
        <is>
          <t>Đã xong, đã merge main</t>
        </is>
      </c>
    </row>
    <row r="27" ht="54.75" customHeight="1" s="16">
      <c r="A27" s="20" t="inlineStr">
        <is>
          <t>S1-23</t>
        </is>
      </c>
      <c r="B27" s="20" t="inlineStr">
        <is>
          <t>UC-UM-02</t>
        </is>
      </c>
      <c r="C27" s="21" t="inlineStr">
        <is>
          <t>BE – Cập nhật hồ sơ cá nhân (màn S20): người dùng sửa các trường hồ sơ được phép như tên, email hoặc số điện thoại; hệ thống kiểm tra dữ liệu trước khi lưu.</t>
        </is>
      </c>
      <c r="D27" s="22" t="inlineStr">
        <is>
          <t>BE</t>
        </is>
      </c>
      <c r="E27" s="20" t="inlineStr">
        <is>
          <t>Nhanh</t>
        </is>
      </c>
      <c r="F27" s="20" t="inlineStr">
        <is>
          <t>Simple</t>
        </is>
      </c>
      <c r="G27" s="21" t="inlineStr">
        <is>
          <t>Chỉ sửa các trường hồ sơ được phép, không tự đổi role hoặc trạng thái tài khoản. Email/SĐT mới phải chuẩn hoá và không trùng theo BR-1.1/1.10; lưu người sửa, thời điểm và giá trị cũ/mới theo BR-0.2.</t>
        </is>
      </c>
      <c r="H27" s="20" t="inlineStr">
        <is>
          <t>sprint-1/be-nhanh</t>
        </is>
      </c>
      <c r="I27" s="20" t="inlineStr">
        <is>
          <t>21/09/2026</t>
        </is>
      </c>
      <c r="J27" s="20" t="inlineStr">
        <is>
          <t>05/10/2026</t>
        </is>
      </c>
      <c r="K27" s="20" t="inlineStr">
        <is>
          <t>Done</t>
        </is>
      </c>
      <c r="L27" s="21" t="inlineStr">
        <is>
          <t>Đã xong, đã merge main</t>
        </is>
      </c>
    </row>
    <row r="28" ht="54.75" customHeight="1" s="16">
      <c r="A28" s="20" t="inlineStr">
        <is>
          <t>S1-24</t>
        </is>
      </c>
      <c r="B28" s="20" t="inlineStr">
        <is>
          <t>UC-UM-02</t>
        </is>
      </c>
      <c r="C28" s="21" t="inlineStr">
        <is>
          <t>FE – Cập nhật hồ sơ cá nhân (màn S20): người dùng sửa các trường hồ sơ được phép như tên, email hoặc số điện thoại; hệ thống kiểm tra dữ liệu trước khi lưu.</t>
        </is>
      </c>
      <c r="D28" s="23" t="inlineStr">
        <is>
          <t>FE</t>
        </is>
      </c>
      <c r="E28" s="20" t="inlineStr">
        <is>
          <t>Khôi</t>
        </is>
      </c>
      <c r="F28" s="20" t="inlineStr">
        <is>
          <t>Simple</t>
        </is>
      </c>
      <c r="G28" s="21" t="inlineStr">
        <is>
          <t>Chỉ sửa các trường hồ sơ được phép, không tự đổi role hoặc trạng thái tài khoản. Email/SĐT mới phải chuẩn hoá và không trùng theo BR-1.1/1.10; lưu người sửa, thời điểm và giá trị cũ/mới theo BR-0.2.</t>
        </is>
      </c>
      <c r="H28" s="20" t="inlineStr">
        <is>
          <t>sprint-1/fe-khoi</t>
        </is>
      </c>
      <c r="I28" s="20" t="inlineStr">
        <is>
          <t>21/09/2026</t>
        </is>
      </c>
      <c r="J28" s="20" t="inlineStr">
        <is>
          <t>05/10/2026</t>
        </is>
      </c>
      <c r="K28" s="20" t="inlineStr">
        <is>
          <t>Done</t>
        </is>
      </c>
      <c r="L28" s="21" t="inlineStr">
        <is>
          <t>Đã xong, đã merge main</t>
        </is>
      </c>
    </row>
    <row r="29" ht="54.75" customHeight="1" s="16">
      <c r="A29" s="20" t="inlineStr">
        <is>
          <t>S1-25</t>
        </is>
      </c>
      <c r="B29" s="20" t="inlineStr">
        <is>
          <t>UC-UM-03</t>
        </is>
      </c>
      <c r="C29" s="21" t="inlineStr">
        <is>
          <t>BE – Xem gói đang bán và gói hiện tại (màn 4): hiển thị các gói còn được bán và membership hiện tại cùng trạng thái, ngày hiệu lực, ngày hết hạn và quyền lợi.</t>
        </is>
      </c>
      <c r="D29" s="22" t="inlineStr">
        <is>
          <t>BE</t>
        </is>
      </c>
      <c r="E29" s="20" t="inlineStr">
        <is>
          <t>Bảo</t>
        </is>
      </c>
      <c r="F29" s="20" t="inlineStr">
        <is>
          <t>Simple</t>
        </is>
      </c>
      <c r="G29" s="21" t="inlineStr">
        <is>
          <t>Chỉ gói ở trạng thái SELLING được chọn cho giao dịch mới theo BR-1.6. Một hội viên chỉ có đúng một membership đang hiệu lực tại một thời điểm theo BR-1.2; màn hình phải hiển thị rõ trạng thái và ngày hiệu lực.</t>
        </is>
      </c>
      <c r="H29" s="20" t="inlineStr">
        <is>
          <t>sprint-1/be-bao</t>
        </is>
      </c>
      <c r="I29" s="20" t="inlineStr">
        <is>
          <t>21/09/2026</t>
        </is>
      </c>
      <c r="J29" s="20" t="inlineStr">
        <is>
          <t>05/10/2026</t>
        </is>
      </c>
      <c r="K29" s="20" t="inlineStr">
        <is>
          <t>Done</t>
        </is>
      </c>
      <c r="L29" s="21" t="inlineStr">
        <is>
          <t>Đã xong, đã merge main</t>
        </is>
      </c>
    </row>
    <row r="30" ht="54.75" customHeight="1" s="16">
      <c r="A30" s="20" t="inlineStr">
        <is>
          <t>S1-26</t>
        </is>
      </c>
      <c r="B30" s="20" t="inlineStr">
        <is>
          <t>UC-UM-03</t>
        </is>
      </c>
      <c r="C30" s="21" t="inlineStr">
        <is>
          <t>FE – Xem gói đang bán và gói hiện tại (màn 4): hiển thị các gói còn được bán và membership hiện tại cùng trạng thái, ngày hiệu lực, ngày hết hạn và quyền lợi.</t>
        </is>
      </c>
      <c r="D30" s="23" t="inlineStr">
        <is>
          <t>FE</t>
        </is>
      </c>
      <c r="E30" s="20" t="inlineStr">
        <is>
          <t>Khải</t>
        </is>
      </c>
      <c r="F30" s="20" t="inlineStr">
        <is>
          <t>Simple</t>
        </is>
      </c>
      <c r="G30" s="21" t="inlineStr">
        <is>
          <t>Chỉ gói ở trạng thái SELLING được chọn cho giao dịch mới theo BR-1.6. Một hội viên chỉ có đúng một membership đang hiệu lực tại một thời điểm theo BR-1.2; màn hình phải hiển thị rõ trạng thái và ngày hiệu lực.</t>
        </is>
      </c>
      <c r="H30" s="20" t="inlineStr">
        <is>
          <t>sprint-1/fe-khai</t>
        </is>
      </c>
      <c r="I30" s="20" t="inlineStr">
        <is>
          <t>21/09/2026</t>
        </is>
      </c>
      <c r="J30" s="20" t="inlineStr">
        <is>
          <t>05/10/2026</t>
        </is>
      </c>
      <c r="K30" s="20" t="inlineStr">
        <is>
          <t>Done</t>
        </is>
      </c>
      <c r="L30" s="21" t="inlineStr">
        <is>
          <t>Đã xong, đã merge main</t>
        </is>
      </c>
    </row>
    <row r="31" ht="54.75" customHeight="1" s="16">
      <c r="A31" s="20" t="inlineStr">
        <is>
          <t>S1-27</t>
        </is>
      </c>
      <c r="B31" s="20" t="inlineStr">
        <is>
          <t>UC-UM-05</t>
        </is>
      </c>
      <c r="C31" s="21" t="inlineStr">
        <is>
          <t>BE – Đăng ký hội viên tại quầy (màn 5): lễ tân nhập thông tin khách và tạo hồ sơ hội viên trực tiếp; email có thể bỏ trống nếu dùng số điện thoại làm định danh.</t>
        </is>
      </c>
      <c r="D31" s="22" t="inlineStr">
        <is>
          <t>BE</t>
        </is>
      </c>
      <c r="E31" s="20" t="inlineStr">
        <is>
          <t>Bảo</t>
        </is>
      </c>
      <c r="F31" s="20" t="inlineStr">
        <is>
          <t>Simple</t>
        </is>
      </c>
      <c r="G31" s="21" t="inlineStr">
        <is>
          <t>Áp dụng BR-1.1/1.10 cho dữ liệu nhập và BR-1.8 cho role mặc định; email có thể bỏ trống nếu chỉ dùng SĐT. Người thao tác phải có member.create; không tạo hồ sơ trùng hoặc tự cấp role.</t>
        </is>
      </c>
      <c r="H31" s="20" t="inlineStr">
        <is>
          <t>sprint-1/be-bao</t>
        </is>
      </c>
      <c r="I31" s="20" t="inlineStr">
        <is>
          <t>21/09/2026</t>
        </is>
      </c>
      <c r="J31" s="20" t="inlineStr">
        <is>
          <t>05/10/2026</t>
        </is>
      </c>
      <c r="K31" s="20" t="inlineStr">
        <is>
          <t>Done</t>
        </is>
      </c>
      <c r="L31" s="21" t="inlineStr">
        <is>
          <t>Đã xong, đã merge main</t>
        </is>
      </c>
    </row>
    <row r="32" ht="54.75" customHeight="1" s="16">
      <c r="A32" s="20" t="inlineStr">
        <is>
          <t>S1-28</t>
        </is>
      </c>
      <c r="B32" s="20" t="inlineStr">
        <is>
          <t>UC-UM-05</t>
        </is>
      </c>
      <c r="C32" s="21" t="inlineStr">
        <is>
          <t>FE – Đăng ký hội viên tại quầy (màn 5): lễ tân nhập thông tin khách và tạo hồ sơ hội viên trực tiếp; email có thể bỏ trống nếu dùng số điện thoại làm định danh.</t>
        </is>
      </c>
      <c r="D32" s="23" t="inlineStr">
        <is>
          <t>FE</t>
        </is>
      </c>
      <c r="E32" s="20" t="inlineStr">
        <is>
          <t>Khải</t>
        </is>
      </c>
      <c r="F32" s="20" t="inlineStr">
        <is>
          <t>Simple</t>
        </is>
      </c>
      <c r="G32" s="21" t="inlineStr">
        <is>
          <t>Áp dụng BR-1.1/1.10 cho dữ liệu nhập và BR-1.8 cho role mặc định; email có thể bỏ trống nếu chỉ dùng SĐT. Người thao tác phải có member.create; không tạo hồ sơ trùng hoặc tự cấp role.</t>
        </is>
      </c>
      <c r="H32" s="20" t="inlineStr">
        <is>
          <t>sprint-1/fe-khai</t>
        </is>
      </c>
      <c r="I32" s="20" t="inlineStr">
        <is>
          <t>21/09/2026</t>
        </is>
      </c>
      <c r="J32" s="20" t="inlineStr">
        <is>
          <t>05/10/2026</t>
        </is>
      </c>
      <c r="K32" s="20" t="inlineStr">
        <is>
          <t>Done</t>
        </is>
      </c>
      <c r="L32" s="21" t="inlineStr">
        <is>
          <t>Đã xong, đã merge main</t>
        </is>
      </c>
    </row>
    <row r="33" ht="54.75" customHeight="1" s="16">
      <c r="A33" s="20" t="inlineStr">
        <is>
          <t>S1-29</t>
        </is>
      </c>
      <c r="B33" s="20" t="inlineStr">
        <is>
          <t>UC-UM-06</t>
        </is>
      </c>
      <c r="C33" s="21" t="inlineStr">
        <is>
          <t>BE – Tìm kiếm hội viên (màn 6): nhân viên tìm hội viên theo tên, email hoặc số điện thoại và xem nhanh trạng thái tài khoản cùng gói hiện tại.</t>
        </is>
      </c>
      <c r="D33" s="22" t="inlineStr">
        <is>
          <t>BE</t>
        </is>
      </c>
      <c r="E33" s="20" t="inlineStr">
        <is>
          <t>Bảo</t>
        </is>
      </c>
      <c r="F33" s="20" t="inlineStr">
        <is>
          <t>Simple</t>
        </is>
      </c>
      <c r="G33" s="21" t="inlineStr">
        <is>
          <t>Tìm theo tên, email hoặc SĐT đã chuẩn hoá; kết quả kèm trạng thái tài khoản và gói hiện tại/hết hạn. Chỉ trả dữ liệu trong phạm vi permission, không cho dùng tìm kiếm để xem hồ sơ ngoài quyền.</t>
        </is>
      </c>
      <c r="H33" s="20" t="inlineStr">
        <is>
          <t>sprint-1/be-bao</t>
        </is>
      </c>
      <c r="I33" s="20" t="inlineStr">
        <is>
          <t>21/09/2026</t>
        </is>
      </c>
      <c r="J33" s="20" t="inlineStr">
        <is>
          <t>05/10/2026</t>
        </is>
      </c>
      <c r="K33" s="20" t="inlineStr">
        <is>
          <t>Done</t>
        </is>
      </c>
      <c r="L33" s="21" t="inlineStr">
        <is>
          <t>Đã xong, đã merge main</t>
        </is>
      </c>
    </row>
    <row r="34" ht="54.75" customHeight="1" s="16">
      <c r="A34" s="20" t="inlineStr">
        <is>
          <t>S1-30</t>
        </is>
      </c>
      <c r="B34" s="20" t="inlineStr">
        <is>
          <t>UC-UM-06</t>
        </is>
      </c>
      <c r="C34" s="21" t="inlineStr">
        <is>
          <t>FE – Tìm kiếm hội viên (màn 6): nhân viên tìm hội viên theo tên, email hoặc số điện thoại và xem nhanh trạng thái tài khoản cùng gói hiện tại.</t>
        </is>
      </c>
      <c r="D34" s="23" t="inlineStr">
        <is>
          <t>FE</t>
        </is>
      </c>
      <c r="E34" s="20" t="inlineStr">
        <is>
          <t>Khải</t>
        </is>
      </c>
      <c r="F34" s="20" t="inlineStr">
        <is>
          <t>Simple</t>
        </is>
      </c>
      <c r="G34" s="21" t="inlineStr">
        <is>
          <t>Tìm theo tên, email hoặc SĐT đã chuẩn hoá; kết quả kèm trạng thái tài khoản và gói hiện tại/hết hạn. Chỉ trả dữ liệu trong phạm vi permission, không cho dùng tìm kiếm để xem hồ sơ ngoài quyền.</t>
        </is>
      </c>
      <c r="H34" s="20" t="inlineStr">
        <is>
          <t>sprint-1/fe-khai</t>
        </is>
      </c>
      <c r="I34" s="20" t="inlineStr">
        <is>
          <t>21/09/2026</t>
        </is>
      </c>
      <c r="J34" s="20" t="inlineStr">
        <is>
          <t>05/10/2026</t>
        </is>
      </c>
      <c r="K34" s="20" t="inlineStr">
        <is>
          <t>Done</t>
        </is>
      </c>
      <c r="L34" s="21" t="inlineStr">
        <is>
          <t>Đã xong, đã merge main</t>
        </is>
      </c>
    </row>
    <row r="35" ht="54.75" customHeight="1" s="16">
      <c r="A35" s="20" t="inlineStr">
        <is>
          <t>S1-31</t>
        </is>
      </c>
      <c r="B35" s="20" t="inlineStr">
        <is>
          <t>UC-UM-14</t>
        </is>
      </c>
      <c r="C35" s="21" t="inlineStr">
        <is>
          <t>BE – Xem chi tiết hội viên (màn S22): Manager mở hồ sơ để xem thông tin định danh, trạng thái, membership và dữ liệu giao dịch/lịch sử được cấp quyền.</t>
        </is>
      </c>
      <c r="D35" s="22" t="inlineStr">
        <is>
          <t>BE</t>
        </is>
      </c>
      <c r="E35" s="20" t="inlineStr">
        <is>
          <t>Bảo</t>
        </is>
      </c>
      <c r="F35" s="20" t="inlineStr">
        <is>
          <t>Simple</t>
        </is>
      </c>
      <c r="G35" s="21" t="inlineStr">
        <is>
          <t>Hiển thị thông tin hội viên được phép gồm định danh, trạng thái, membership và lịch sử liên quan. Lễ tân/Manager chỉ xem theo permission; dữ liệu lịch sử vẫn giữ khi gói ngừng bán hoặc tài khoản bị khoá.</t>
        </is>
      </c>
      <c r="H35" s="20" t="inlineStr">
        <is>
          <t>sprint-1/be-bao</t>
        </is>
      </c>
      <c r="I35" s="20" t="inlineStr">
        <is>
          <t>21/09/2026</t>
        </is>
      </c>
      <c r="J35" s="20" t="inlineStr">
        <is>
          <t>05/10/2026</t>
        </is>
      </c>
      <c r="K35" s="20" t="inlineStr">
        <is>
          <t>Done</t>
        </is>
      </c>
      <c r="L35" s="21" t="inlineStr">
        <is>
          <t>Đã xong, đã merge main</t>
        </is>
      </c>
    </row>
    <row r="36" ht="54.75" customHeight="1" s="16">
      <c r="A36" s="20" t="inlineStr">
        <is>
          <t>S1-32</t>
        </is>
      </c>
      <c r="B36" s="20" t="inlineStr">
        <is>
          <t>UC-UM-14</t>
        </is>
      </c>
      <c r="C36" s="21" t="inlineStr">
        <is>
          <t>FE – Xem chi tiết hội viên (màn S22): Manager mở hồ sơ để xem thông tin định danh, trạng thái, membership và dữ liệu giao dịch/lịch sử được cấp quyền.</t>
        </is>
      </c>
      <c r="D36" s="23" t="inlineStr">
        <is>
          <t>FE</t>
        </is>
      </c>
      <c r="E36" s="20" t="inlineStr">
        <is>
          <t>Khải</t>
        </is>
      </c>
      <c r="F36" s="20" t="inlineStr">
        <is>
          <t>Simple</t>
        </is>
      </c>
      <c r="G36" s="21" t="inlineStr">
        <is>
          <t>Hiển thị thông tin hội viên được phép gồm định danh, trạng thái, membership và lịch sử liên quan. Lễ tân/Manager chỉ xem theo permission; dữ liệu lịch sử vẫn giữ khi gói ngừng bán hoặc tài khoản bị khoá.</t>
        </is>
      </c>
      <c r="H36" s="20" t="inlineStr">
        <is>
          <t>sprint-1/fe-khai</t>
        </is>
      </c>
      <c r="I36" s="20" t="inlineStr">
        <is>
          <t>21/09/2026</t>
        </is>
      </c>
      <c r="J36" s="20" t="inlineStr">
        <is>
          <t>05/10/2026</t>
        </is>
      </c>
      <c r="K36" s="20" t="inlineStr">
        <is>
          <t>Done</t>
        </is>
      </c>
      <c r="L36" s="21" t="inlineStr">
        <is>
          <t>Đã xong, đã merge main</t>
        </is>
      </c>
    </row>
    <row r="37" ht="54.75" customHeight="1" s="16">
      <c r="A37" s="20" t="inlineStr">
        <is>
          <t>S1-33</t>
        </is>
      </c>
      <c r="B37" s="20" t="inlineStr">
        <is>
          <t>UC-UM-19</t>
        </is>
      </c>
      <c r="C37" s="21" t="inlineStr">
        <is>
          <t>BE – Nhân viên cập nhật hồ sơ hội viên (màn S22): nhân viên có quyền sửa thông tin hội viên; hệ thống kiểm tra trùng dữ liệu và lưu lại người sửa cùng thời điểm.</t>
        </is>
      </c>
      <c r="D37" s="22" t="inlineStr">
        <is>
          <t>BE</t>
        </is>
      </c>
      <c r="E37" s="20" t="inlineStr">
        <is>
          <t>Bảo</t>
        </is>
      </c>
      <c r="F37" s="20" t="inlineStr">
        <is>
          <t>Simple</t>
        </is>
      </c>
      <c r="G37" s="21" t="inlineStr">
        <is>
          <t>Kiểm tra email/SĐT duy nhất và chuẩn hoá trước khi lưu theo BR-1.1/1.10; không đổi role qua màn này. Ghi người sửa, thời điểm và giá trị cũ/mới theo BR-0.2.</t>
        </is>
      </c>
      <c r="H37" s="20" t="inlineStr">
        <is>
          <t>sprint-1/be-bao</t>
        </is>
      </c>
      <c r="I37" s="20" t="inlineStr">
        <is>
          <t>21/09/2026</t>
        </is>
      </c>
      <c r="J37" s="20" t="inlineStr">
        <is>
          <t>05/10/2026</t>
        </is>
      </c>
      <c r="K37" s="20" t="inlineStr">
        <is>
          <t>Done</t>
        </is>
      </c>
      <c r="L37" s="21" t="inlineStr">
        <is>
          <t>Đã xong, đã merge main</t>
        </is>
      </c>
    </row>
    <row r="38" ht="54.75" customHeight="1" s="16">
      <c r="A38" s="20" t="inlineStr">
        <is>
          <t>S1-34</t>
        </is>
      </c>
      <c r="B38" s="20" t="inlineStr">
        <is>
          <t>UC-UM-19</t>
        </is>
      </c>
      <c r="C38" s="21" t="inlineStr">
        <is>
          <t>FE – Nhân viên cập nhật hồ sơ hội viên (màn S22): nhân viên có quyền sửa thông tin hội viên; hệ thống kiểm tra trùng dữ liệu và lưu lại người sửa cùng thời điểm.</t>
        </is>
      </c>
      <c r="D38" s="23" t="inlineStr">
        <is>
          <t>FE</t>
        </is>
      </c>
      <c r="E38" s="20" t="inlineStr">
        <is>
          <t>Khải</t>
        </is>
      </c>
      <c r="F38" s="20" t="inlineStr">
        <is>
          <t>Simple</t>
        </is>
      </c>
      <c r="G38" s="21" t="inlineStr">
        <is>
          <t>Kiểm tra email/SĐT duy nhất và chuẩn hoá trước khi lưu theo BR-1.1/1.10; không đổi role qua màn này. Ghi người sửa, thời điểm và giá trị cũ/mới theo BR-0.2.</t>
        </is>
      </c>
      <c r="H38" s="20" t="inlineStr">
        <is>
          <t>sprint-1/fe-khai</t>
        </is>
      </c>
      <c r="I38" s="20" t="inlineStr">
        <is>
          <t>21/09/2026</t>
        </is>
      </c>
      <c r="J38" s="20" t="inlineStr">
        <is>
          <t>05/10/2026</t>
        </is>
      </c>
      <c r="K38" s="20" t="inlineStr">
        <is>
          <t>Done</t>
        </is>
      </c>
      <c r="L38" s="21" t="inlineStr">
        <is>
          <t>Đã xong, đã merge main</t>
        </is>
      </c>
    </row>
    <row r="39" ht="54.75" customHeight="1" s="16">
      <c r="A39" s="20" t="inlineStr">
        <is>
          <t>S1-35</t>
        </is>
      </c>
      <c r="B39" s="20" t="inlineStr">
        <is>
          <t>UC-UM-07</t>
        </is>
      </c>
      <c r="C39" s="21" t="inlineStr">
        <is>
          <t>BE – Mua / gia hạn hộ tại quầy (màn 16): nhân viên chọn gói đang bán, ghi nhận giao dịch tại quầy và tính lại ngày hiệu lực cho membership của hội viên.</t>
        </is>
      </c>
      <c r="D39" s="22" t="inlineStr">
        <is>
          <t>BE</t>
        </is>
      </c>
      <c r="E39" s="20" t="inlineStr">
        <is>
          <t>Bảo</t>
        </is>
      </c>
      <c r="F39" s="20" t="inlineStr">
        <is>
          <t>Medium</t>
        </is>
      </c>
      <c r="G39" s="21" t="inlineStr">
        <is>
          <t>Chỉ chọn gói đang bán. Nếu gói còn hạn, ngày hết hạn mới = ngày hết hạn cũ + thời hạn gói theo BR-1.3; nếu đã hết hạn, ngày bắt đầu = ngày thanh toán theo BR-1.4. Hoá đơn PENDING cùng gói phải được xử lý theo BR-1.13, không tạo membership trùng.</t>
        </is>
      </c>
      <c r="H39" s="20" t="inlineStr">
        <is>
          <t>sprint-1/be-bao</t>
        </is>
      </c>
      <c r="I39" s="20" t="inlineStr">
        <is>
          <t>21/09/2026</t>
        </is>
      </c>
      <c r="J39" s="20" t="inlineStr">
        <is>
          <t>05/10/2026</t>
        </is>
      </c>
      <c r="K39" s="20" t="inlineStr">
        <is>
          <t>Done</t>
        </is>
      </c>
      <c r="L39" s="21" t="inlineStr">
        <is>
          <t>Đã xong, đã merge main</t>
        </is>
      </c>
    </row>
    <row r="40" ht="54.75" customHeight="1" s="16">
      <c r="A40" s="20" t="inlineStr">
        <is>
          <t>S1-36</t>
        </is>
      </c>
      <c r="B40" s="20" t="inlineStr">
        <is>
          <t>UC-UM-07</t>
        </is>
      </c>
      <c r="C40" s="21" t="inlineStr">
        <is>
          <t>FE – Mua / gia hạn hộ tại quầy (màn 16): nhân viên chọn gói đang bán, ghi nhận giao dịch tại quầy và tính lại ngày hiệu lực cho membership của hội viên.</t>
        </is>
      </c>
      <c r="D40" s="23" t="inlineStr">
        <is>
          <t>FE</t>
        </is>
      </c>
      <c r="E40" s="20" t="inlineStr">
        <is>
          <t>Khải</t>
        </is>
      </c>
      <c r="F40" s="20" t="inlineStr">
        <is>
          <t>Medium</t>
        </is>
      </c>
      <c r="G40" s="21" t="inlineStr">
        <is>
          <t>Chỉ chọn gói đang bán. Nếu gói còn hạn, ngày hết hạn mới = ngày hết hạn cũ + thời hạn gói theo BR-1.3; nếu đã hết hạn, ngày bắt đầu = ngày thanh toán theo BR-1.4. Hoá đơn PENDING cùng gói phải được xử lý theo BR-1.13, không tạo membership trùng.</t>
        </is>
      </c>
      <c r="H40" s="20" t="inlineStr">
        <is>
          <t>sprint-1/fe-khai</t>
        </is>
      </c>
      <c r="I40" s="20" t="inlineStr">
        <is>
          <t>21/09/2026</t>
        </is>
      </c>
      <c r="J40" s="20" t="inlineStr">
        <is>
          <t>05/10/2026</t>
        </is>
      </c>
      <c r="K40" s="20" t="inlineStr">
        <is>
          <t>Done</t>
        </is>
      </c>
      <c r="L40" s="21" t="inlineStr">
        <is>
          <t>Đã xong, đã merge main</t>
        </is>
      </c>
    </row>
    <row r="41" ht="54.75" customHeight="1" s="16">
      <c r="A41" s="20" t="inlineStr">
        <is>
          <t>S1-37</t>
        </is>
      </c>
      <c r="B41" s="20" t="inlineStr">
        <is>
          <t>UC-UM-08</t>
        </is>
      </c>
      <c r="C41" s="21" t="inlineStr">
        <is>
          <t>BE – Danh sách gói tập (màn 7): Manager xem các gói, giá, thời hạn và trạng thái đang bán/ngừng bán để quản lý danh mục sản phẩm.</t>
        </is>
      </c>
      <c r="D41" s="22" t="inlineStr">
        <is>
          <t>BE</t>
        </is>
      </c>
      <c r="E41" s="20" t="inlineStr">
        <is>
          <t>Bảo</t>
        </is>
      </c>
      <c r="F41" s="20" t="inlineStr">
        <is>
          <t>Simple</t>
        </is>
      </c>
      <c r="G41" s="21" t="inlineStr">
        <is>
          <t>Màn quản trị hiển thị giá, thời hạn, trạng thái SELLING/STOPPED và dữ liệu liên quan. Gói STOPPED không được chọn cho giao dịch mới nhưng vẫn phải xem được trong membership/hoá đơn lịch sử theo BR-1.6.</t>
        </is>
      </c>
      <c r="H41" s="20" t="inlineStr">
        <is>
          <t>sprint-1/be-bao</t>
        </is>
      </c>
      <c r="I41" s="20" t="inlineStr">
        <is>
          <t>21/09/2026</t>
        </is>
      </c>
      <c r="J41" s="20" t="inlineStr">
        <is>
          <t>05/10/2026</t>
        </is>
      </c>
      <c r="K41" s="20" t="inlineStr">
        <is>
          <t>Done</t>
        </is>
      </c>
      <c r="L41" s="21" t="inlineStr">
        <is>
          <t>Đã xong, đã merge main</t>
        </is>
      </c>
    </row>
    <row r="42" ht="54.75" customHeight="1" s="16">
      <c r="A42" s="20" t="inlineStr">
        <is>
          <t>S1-38</t>
        </is>
      </c>
      <c r="B42" s="20" t="inlineStr">
        <is>
          <t>UC-UM-08</t>
        </is>
      </c>
      <c r="C42" s="21" t="inlineStr">
        <is>
          <t>FE – Danh sách gói tập (màn 7): Manager xem các gói, giá, thời hạn và trạng thái đang bán/ngừng bán để quản lý danh mục sản phẩm.</t>
        </is>
      </c>
      <c r="D42" s="23" t="inlineStr">
        <is>
          <t>FE</t>
        </is>
      </c>
      <c r="E42" s="20" t="inlineStr">
        <is>
          <t>Khải</t>
        </is>
      </c>
      <c r="F42" s="20" t="inlineStr">
        <is>
          <t>Simple</t>
        </is>
      </c>
      <c r="G42" s="21" t="inlineStr">
        <is>
          <t>Màn quản trị hiển thị giá, thời hạn, trạng thái SELLING/STOPPED và dữ liệu liên quan. Gói STOPPED không được chọn cho giao dịch mới nhưng vẫn phải xem được trong membership/hoá đơn lịch sử theo BR-1.6.</t>
        </is>
      </c>
      <c r="H42" s="20" t="inlineStr">
        <is>
          <t>sprint-1/fe-khai</t>
        </is>
      </c>
      <c r="I42" s="20" t="inlineStr">
        <is>
          <t>21/09/2026</t>
        </is>
      </c>
      <c r="J42" s="20" t="inlineStr">
        <is>
          <t>05/10/2026</t>
        </is>
      </c>
      <c r="K42" s="20" t="inlineStr">
        <is>
          <t>Done</t>
        </is>
      </c>
      <c r="L42" s="21" t="inlineStr">
        <is>
          <t>Đã xong, đã merge main</t>
        </is>
      </c>
    </row>
    <row r="43" ht="54.75" customHeight="1" s="16">
      <c r="A43" s="20" t="inlineStr">
        <is>
          <t>S1-39</t>
        </is>
      </c>
      <c r="B43" s="20" t="inlineStr">
        <is>
          <t>UC-UM-08</t>
        </is>
      </c>
      <c r="C43" s="21" t="inlineStr">
        <is>
          <t>BE – Tạo / sửa gói tập (màn 7): Manager nhập hoặc cập nhật tên gói, giá, thời hạn và điều kiện áp dụng; hệ thống kiểm tra dữ liệu trước khi lưu.</t>
        </is>
      </c>
      <c r="D43" s="22" t="inlineStr">
        <is>
          <t>BE</t>
        </is>
      </c>
      <c r="E43" s="20" t="inlineStr">
        <is>
          <t>Bảo</t>
        </is>
      </c>
      <c r="F43" s="20" t="inlineStr">
        <is>
          <t>Simple</t>
        </is>
      </c>
      <c r="G43" s="21" t="inlineStr">
        <is>
          <t>Giá và thời hạn phải lớn hơn 0, tên gói không trùng. Giá trị mới áp dụng cho giao dịch mới, không sửa số tiền của hoá đơn cũ; thay đổi quan trọng ghi audit theo BR-0.2.</t>
        </is>
      </c>
      <c r="H43" s="20" t="inlineStr">
        <is>
          <t>sprint-1/be-bao</t>
        </is>
      </c>
      <c r="I43" s="20" t="inlineStr">
        <is>
          <t>21/09/2026</t>
        </is>
      </c>
      <c r="J43" s="20" t="inlineStr">
        <is>
          <t>05/10/2026</t>
        </is>
      </c>
      <c r="K43" s="20" t="inlineStr">
        <is>
          <t>Done</t>
        </is>
      </c>
      <c r="L43" s="21" t="inlineStr">
        <is>
          <t>Đã xong, đã merge main</t>
        </is>
      </c>
    </row>
    <row r="44" ht="54.75" customHeight="1" s="16">
      <c r="A44" s="20" t="inlineStr">
        <is>
          <t>S1-40</t>
        </is>
      </c>
      <c r="B44" s="20" t="inlineStr">
        <is>
          <t>UC-UM-08</t>
        </is>
      </c>
      <c r="C44" s="21" t="inlineStr">
        <is>
          <t>FE – Tạo / sửa gói tập (màn 7): Manager nhập hoặc cập nhật tên gói, giá, thời hạn và điều kiện áp dụng; hệ thống kiểm tra dữ liệu trước khi lưu.</t>
        </is>
      </c>
      <c r="D44" s="23" t="inlineStr">
        <is>
          <t>FE</t>
        </is>
      </c>
      <c r="E44" s="20" t="inlineStr">
        <is>
          <t>Khải</t>
        </is>
      </c>
      <c r="F44" s="20" t="inlineStr">
        <is>
          <t>Simple</t>
        </is>
      </c>
      <c r="G44" s="21" t="inlineStr">
        <is>
          <t>Giá và thời hạn phải lớn hơn 0, tên gói không trùng. Giá trị mới áp dụng cho giao dịch mới, không sửa số tiền của hoá đơn cũ; thay đổi quan trọng ghi audit theo BR-0.2.</t>
        </is>
      </c>
      <c r="H44" s="20" t="inlineStr">
        <is>
          <t>sprint-1/fe-khai</t>
        </is>
      </c>
      <c r="I44" s="20" t="inlineStr">
        <is>
          <t>21/09/2026</t>
        </is>
      </c>
      <c r="J44" s="20" t="inlineStr">
        <is>
          <t>05/10/2026</t>
        </is>
      </c>
      <c r="K44" s="20" t="inlineStr">
        <is>
          <t>Done</t>
        </is>
      </c>
      <c r="L44" s="21" t="inlineStr">
        <is>
          <t>Đã xong, đã merge main</t>
        </is>
      </c>
    </row>
    <row r="45" ht="54.75" customHeight="1" s="16">
      <c r="A45" s="20" t="inlineStr">
        <is>
          <t>S1-41</t>
        </is>
      </c>
      <c r="B45" s="20" t="inlineStr">
        <is>
          <t>UC-UM-08</t>
        </is>
      </c>
      <c r="C45" s="21" t="inlineStr">
        <is>
          <t>BE – Ngừng bán / xoá gói (màn 7): Manager dừng cung cấp gói hoặc xoá gói chưa phát sinh tham chiếu; gói đã bán được giữ lại để tra cứu lịch sử.</t>
        </is>
      </c>
      <c r="D45" s="22" t="inlineStr">
        <is>
          <t>BE</t>
        </is>
      </c>
      <c r="E45" s="20" t="inlineStr">
        <is>
          <t>Bảo</t>
        </is>
      </c>
      <c r="F45" s="20" t="inlineStr">
        <is>
          <t>Medium</t>
        </is>
      </c>
      <c r="G45" s="21" t="inlineStr">
        <is>
          <t>Gói chưa được tham chiếu mới có thể xoá cứng; gói đã bán chỉ chuyển STOPPED theo BR-0.1. Gói STOPPED không bán mới nhưng vẫn xuất hiện trong lịch sử theo BR-1.6.</t>
        </is>
      </c>
      <c r="H45" s="20" t="inlineStr">
        <is>
          <t>sprint-1/be-bao</t>
        </is>
      </c>
      <c r="I45" s="20" t="inlineStr">
        <is>
          <t>21/09/2026</t>
        </is>
      </c>
      <c r="J45" s="20" t="inlineStr">
        <is>
          <t>05/10/2026</t>
        </is>
      </c>
      <c r="K45" s="20" t="inlineStr">
        <is>
          <t>Done</t>
        </is>
      </c>
      <c r="L45" s="21" t="inlineStr">
        <is>
          <t>Đã xong, đã merge main</t>
        </is>
      </c>
    </row>
    <row r="46" ht="54.75" customHeight="1" s="16">
      <c r="A46" s="20" t="inlineStr">
        <is>
          <t>S1-42</t>
        </is>
      </c>
      <c r="B46" s="20" t="inlineStr">
        <is>
          <t>UC-UM-08</t>
        </is>
      </c>
      <c r="C46" s="21" t="inlineStr">
        <is>
          <t>FE – Ngừng bán / xoá gói (màn 7): Manager dừng cung cấp gói hoặc xoá gói chưa phát sinh tham chiếu; gói đã bán được giữ lại để tra cứu lịch sử.</t>
        </is>
      </c>
      <c r="D46" s="23" t="inlineStr">
        <is>
          <t>FE</t>
        </is>
      </c>
      <c r="E46" s="20" t="inlineStr">
        <is>
          <t>Khải</t>
        </is>
      </c>
      <c r="F46" s="20" t="inlineStr">
        <is>
          <t>Medium</t>
        </is>
      </c>
      <c r="G46" s="21" t="inlineStr">
        <is>
          <t>Gói chưa được tham chiếu mới có thể xoá cứng; gói đã bán chỉ chuyển STOPPED theo BR-0.1. Gói STOPPED không bán mới nhưng vẫn xuất hiện trong lịch sử theo BR-1.6.</t>
        </is>
      </c>
      <c r="H46" s="20" t="inlineStr">
        <is>
          <t>sprint-1/fe-khai</t>
        </is>
      </c>
      <c r="I46" s="20" t="inlineStr">
        <is>
          <t>21/09/2026</t>
        </is>
      </c>
      <c r="J46" s="20" t="inlineStr">
        <is>
          <t>05/10/2026</t>
        </is>
      </c>
      <c r="K46" s="20" t="inlineStr">
        <is>
          <t>Done</t>
        </is>
      </c>
      <c r="L46" s="21" t="inlineStr">
        <is>
          <t>Đã xong, đã merge main</t>
        </is>
      </c>
    </row>
    <row r="47" ht="54.75" customHeight="1" s="16">
      <c r="A47" s="20" t="inlineStr">
        <is>
          <t>S1-43</t>
        </is>
      </c>
      <c r="B47" s="20" t="inlineStr">
        <is>
          <t>UC-UM-16</t>
        </is>
      </c>
      <c r="C47" s="21" t="inlineStr">
        <is>
          <t>BE – Xem cấu hình hệ thống (màn S27): hiển thị các tham số vận hành như số giờ huỷ lớp, timeout thanh toán, số ngày nhắc gia hạn và giới hạn AI.</t>
        </is>
      </c>
      <c r="D47" s="22" t="inlineStr">
        <is>
          <t>BE</t>
        </is>
      </c>
      <c r="E47" s="20" t="inlineStr">
        <is>
          <t>Nhanh</t>
        </is>
      </c>
      <c r="F47" s="20" t="inlineStr">
        <is>
          <t>Simple</t>
        </is>
      </c>
      <c r="G47" s="21" t="inlineStr">
        <is>
          <t>Chỉ người có system_setting.read được xem. Các tham số như số giờ huỷ lớp, timeout thanh toán, số ngày nhắc gia hạn, tiền tố hoá đơn và giới hạn AI phải hiển thị kèm đơn vị; mốc thời gian dùng múi giờ Việt Nam theo BR-0.3.</t>
        </is>
      </c>
      <c r="H47" s="20" t="inlineStr">
        <is>
          <t>sprint-1/be-nhanh</t>
        </is>
      </c>
      <c r="I47" s="20" t="inlineStr">
        <is>
          <t>21/09/2026</t>
        </is>
      </c>
      <c r="J47" s="20" t="inlineStr">
        <is>
          <t>05/10/2026</t>
        </is>
      </c>
      <c r="K47" s="20" t="inlineStr">
        <is>
          <t>Done</t>
        </is>
      </c>
      <c r="L47" s="21" t="inlineStr">
        <is>
          <t>Đã xong, đã merge main</t>
        </is>
      </c>
    </row>
    <row r="48" ht="54.75" customHeight="1" s="16">
      <c r="A48" s="20" t="inlineStr">
        <is>
          <t>S1-44</t>
        </is>
      </c>
      <c r="B48" s="20" t="inlineStr">
        <is>
          <t>UC-UM-16</t>
        </is>
      </c>
      <c r="C48" s="21" t="inlineStr">
        <is>
          <t>FE – Xem cấu hình hệ thống (màn S27): hiển thị các tham số vận hành như số giờ huỷ lớp, timeout thanh toán, số ngày nhắc gia hạn và giới hạn AI.</t>
        </is>
      </c>
      <c r="D48" s="23" t="inlineStr">
        <is>
          <t>FE</t>
        </is>
      </c>
      <c r="E48" s="20" t="inlineStr">
        <is>
          <t>Khôi</t>
        </is>
      </c>
      <c r="F48" s="20" t="inlineStr">
        <is>
          <t>Simple</t>
        </is>
      </c>
      <c r="G48" s="21" t="inlineStr">
        <is>
          <t>Chỉ người có system_setting.read được xem. Các tham số như số giờ huỷ lớp, timeout thanh toán, số ngày nhắc gia hạn, tiền tố hoá đơn và giới hạn AI phải hiển thị kèm đơn vị; mốc thời gian dùng múi giờ Việt Nam theo BR-0.3.</t>
        </is>
      </c>
      <c r="H48" s="20" t="inlineStr">
        <is>
          <t>sprint-1/fe-khoi</t>
        </is>
      </c>
      <c r="I48" s="20" t="inlineStr">
        <is>
          <t>21/09/2026</t>
        </is>
      </c>
      <c r="J48" s="20" t="inlineStr">
        <is>
          <t>05/10/2026</t>
        </is>
      </c>
      <c r="K48" s="20" t="inlineStr">
        <is>
          <t>Done</t>
        </is>
      </c>
      <c r="L48" s="21" t="inlineStr">
        <is>
          <t>Đã xong, đã merge main</t>
        </is>
      </c>
    </row>
    <row r="49" ht="54.75" customHeight="1" s="16">
      <c r="A49" s="20" t="inlineStr">
        <is>
          <t>S1-45</t>
        </is>
      </c>
      <c r="B49" s="20" t="inlineStr">
        <is>
          <t>UC-UM-16</t>
        </is>
      </c>
      <c r="C49" s="21" t="inlineStr">
        <is>
          <t>BE – Sửa cấu hình hệ thống (màn S27): Manager cập nhật giá trị cấu hình theo đúng kiểu, đơn vị và miền giá trị; giá trị hợp lệ được áp dụng cho các job/nghiệp vụ.</t>
        </is>
      </c>
      <c r="D49" s="22" t="inlineStr">
        <is>
          <t>BE</t>
        </is>
      </c>
      <c r="E49" s="20" t="inlineStr">
        <is>
          <t>Nhanh</t>
        </is>
      </c>
      <c r="F49" s="20" t="inlineStr">
        <is>
          <t>Simple</t>
        </is>
      </c>
      <c r="G49" s="21" t="inlineStr">
        <is>
          <t>Giá trị phải đúng kiểu, đơn vị và miền cho phép; không hard-code theo BR-0.4. Giá trị mới áp dụng theo chính sách, cấu hình sai bị từ chối; ghi audit giá trị cũ, giá trị mới, người sửa và thời điểm theo BR-0.2.</t>
        </is>
      </c>
      <c r="H49" s="20" t="inlineStr">
        <is>
          <t>sprint-1/be-nhanh</t>
        </is>
      </c>
      <c r="I49" s="20" t="inlineStr">
        <is>
          <t>21/09/2026</t>
        </is>
      </c>
      <c r="J49" s="20" t="inlineStr">
        <is>
          <t>05/10/2026</t>
        </is>
      </c>
      <c r="K49" s="20" t="inlineStr">
        <is>
          <t>Done</t>
        </is>
      </c>
      <c r="L49" s="21" t="inlineStr">
        <is>
          <t>Đã xong, đã merge main</t>
        </is>
      </c>
    </row>
    <row r="50" ht="54.75" customHeight="1" s="16">
      <c r="A50" s="20" t="inlineStr">
        <is>
          <t>S1-46</t>
        </is>
      </c>
      <c r="B50" s="20" t="inlineStr">
        <is>
          <t>UC-UM-16</t>
        </is>
      </c>
      <c r="C50" s="21" t="inlineStr">
        <is>
          <t>FE – Sửa cấu hình hệ thống (màn S27): Manager cập nhật giá trị cấu hình theo đúng kiểu, đơn vị và miền giá trị; giá trị hợp lệ được áp dụng cho các job/nghiệp vụ.</t>
        </is>
      </c>
      <c r="D50" s="23" t="inlineStr">
        <is>
          <t>FE</t>
        </is>
      </c>
      <c r="E50" s="20" t="inlineStr">
        <is>
          <t>Khôi</t>
        </is>
      </c>
      <c r="F50" s="20" t="inlineStr">
        <is>
          <t>Simple</t>
        </is>
      </c>
      <c r="G50" s="21" t="inlineStr">
        <is>
          <t>Giá trị phải đúng kiểu, đơn vị và miền cho phép; không hard-code theo BR-0.4. Giá trị mới áp dụng theo chính sách, cấu hình sai bị từ chối; ghi audit giá trị cũ, giá trị mới, người sửa và thời điểm theo BR-0.2.</t>
        </is>
      </c>
      <c r="H50" s="20" t="inlineStr">
        <is>
          <t>sprint-1/fe-khoi</t>
        </is>
      </c>
      <c r="I50" s="20" t="inlineStr">
        <is>
          <t>21/09/2026</t>
        </is>
      </c>
      <c r="J50" s="20" t="inlineStr">
        <is>
          <t>05/10/2026</t>
        </is>
      </c>
      <c r="K50" s="20" t="inlineStr">
        <is>
          <t>Done</t>
        </is>
      </c>
      <c r="L50" s="21" t="inlineStr">
        <is>
          <t>Đã xong, đã merge main</t>
        </is>
      </c>
    </row>
    <row r="51" ht="54.75" customHeight="1" s="16">
      <c r="A51" s="20" t="inlineStr">
        <is>
          <t>S1-47</t>
        </is>
      </c>
      <c r="B51" s="20" t="inlineStr">
        <is>
          <t>UC-UM-17</t>
        </is>
      </c>
      <c r="C51" s="21" t="inlineStr">
        <is>
          <t>BE – Danh sách thông báo (màn S21): người dùng xem các thông báo của chính mình, gồm nội dung, loại sự kiện, thời điểm và trạng thái đã đọc/chưa đọc.</t>
        </is>
      </c>
      <c r="D51" s="22" t="inlineStr">
        <is>
          <t>BE</t>
        </is>
      </c>
      <c r="E51" s="20" t="inlineStr">
        <is>
          <t>Nhanh</t>
        </is>
      </c>
      <c r="F51" s="20" t="inlineStr">
        <is>
          <t>Simple</t>
        </is>
      </c>
      <c r="G51" s="21" t="inlineStr">
        <is>
          <t>Chỉ hiển thị notification của chính người dùng, gồm nội dung, loại sự kiện, thời điểm và trạng thái đọc. Thông báo đổi/huỷ lớp phải gửi đúng hội viên đang đăng ký theo BR-2.7.</t>
        </is>
      </c>
      <c r="H51" s="20" t="inlineStr">
        <is>
          <t>sprint-1/be-nhanh</t>
        </is>
      </c>
      <c r="I51" s="20" t="inlineStr">
        <is>
          <t>21/09/2026</t>
        </is>
      </c>
      <c r="J51" s="20" t="inlineStr">
        <is>
          <t>05/10/2026</t>
        </is>
      </c>
      <c r="K51" s="20" t="inlineStr">
        <is>
          <t>Done</t>
        </is>
      </c>
      <c r="L51" s="21" t="inlineStr">
        <is>
          <t>Đã xong, đã merge main</t>
        </is>
      </c>
    </row>
    <row r="52" ht="54.75" customHeight="1" s="16">
      <c r="A52" s="20" t="inlineStr">
        <is>
          <t>S1-48</t>
        </is>
      </c>
      <c r="B52" s="20" t="inlineStr">
        <is>
          <t>UC-UM-17</t>
        </is>
      </c>
      <c r="C52" s="21" t="inlineStr">
        <is>
          <t>FE – Danh sách thông báo (màn S21): người dùng xem các thông báo của chính mình, gồm nội dung, loại sự kiện, thời điểm và trạng thái đã đọc/chưa đọc.</t>
        </is>
      </c>
      <c r="D52" s="23" t="inlineStr">
        <is>
          <t>FE</t>
        </is>
      </c>
      <c r="E52" s="20" t="inlineStr">
        <is>
          <t>Khôi</t>
        </is>
      </c>
      <c r="F52" s="20" t="inlineStr">
        <is>
          <t>Simple</t>
        </is>
      </c>
      <c r="G52" s="21" t="inlineStr">
        <is>
          <t>Chỉ hiển thị notification của chính người dùng, gồm nội dung, loại sự kiện, thời điểm và trạng thái đọc. Thông báo đổi/huỷ lớp phải gửi đúng hội viên đang đăng ký theo BR-2.7.</t>
        </is>
      </c>
      <c r="H52" s="20" t="inlineStr">
        <is>
          <t>sprint-1/fe-khoi</t>
        </is>
      </c>
      <c r="I52" s="20" t="inlineStr">
        <is>
          <t>21/09/2026</t>
        </is>
      </c>
      <c r="J52" s="20" t="inlineStr">
        <is>
          <t>05/10/2026</t>
        </is>
      </c>
      <c r="K52" s="20" t="inlineStr">
        <is>
          <t>Done</t>
        </is>
      </c>
      <c r="L52" s="21" t="inlineStr">
        <is>
          <t>Đã xong, đã merge main</t>
        </is>
      </c>
    </row>
    <row r="53" ht="54.75" customHeight="1" s="16">
      <c r="A53" s="20" t="inlineStr">
        <is>
          <t>S1-49</t>
        </is>
      </c>
      <c r="B53" s="20" t="inlineStr">
        <is>
          <t>UC-UM-17</t>
        </is>
      </c>
      <c r="C53" s="21" t="inlineStr">
        <is>
          <t>BE – Đánh dấu đã đọc (màn S21): người dùng chuyển một hoặc nhiều thông báo của mình sang trạng thái đã đọc; thao tác lặp lại không tạo bản ghi trùng.</t>
        </is>
      </c>
      <c r="D53" s="22" t="inlineStr">
        <is>
          <t>BE</t>
        </is>
      </c>
      <c r="E53" s="20" t="inlineStr">
        <is>
          <t>Nhanh</t>
        </is>
      </c>
      <c r="F53" s="20" t="inlineStr">
        <is>
          <t>Simple</t>
        </is>
      </c>
      <c r="G53" s="21" t="inlineStr">
        <is>
          <t>Chỉ notification của chính người dùng được chuyển READ; bấm lặp lại không lỗi và không tạo bản ghi trùng. Gửi lỗi phải vào hàng chờ/retry; không xoá mất lịch sử thông báo.</t>
        </is>
      </c>
      <c r="H53" s="20" t="inlineStr">
        <is>
          <t>sprint-1/be-nhanh</t>
        </is>
      </c>
      <c r="I53" s="20" t="inlineStr">
        <is>
          <t>21/09/2026</t>
        </is>
      </c>
      <c r="J53" s="20" t="inlineStr">
        <is>
          <t>05/10/2026</t>
        </is>
      </c>
      <c r="K53" s="20" t="inlineStr">
        <is>
          <t>Done</t>
        </is>
      </c>
      <c r="L53" s="21" t="inlineStr">
        <is>
          <t>Đã xong, đã merge main</t>
        </is>
      </c>
    </row>
    <row r="54" ht="54.75" customHeight="1" s="16">
      <c r="A54" s="20" t="inlineStr">
        <is>
          <t>S1-50</t>
        </is>
      </c>
      <c r="B54" s="20" t="inlineStr">
        <is>
          <t>UC-UM-17</t>
        </is>
      </c>
      <c r="C54" s="21" t="inlineStr">
        <is>
          <t>FE – Đánh dấu đã đọc (màn S21): người dùng chuyển một hoặc nhiều thông báo của mình sang trạng thái đã đọc; thao tác lặp lại không tạo bản ghi trùng.</t>
        </is>
      </c>
      <c r="D54" s="23" t="inlineStr">
        <is>
          <t>FE</t>
        </is>
      </c>
      <c r="E54" s="20" t="inlineStr">
        <is>
          <t>Khôi</t>
        </is>
      </c>
      <c r="F54" s="20" t="inlineStr">
        <is>
          <t>Simple</t>
        </is>
      </c>
      <c r="G54" s="21" t="inlineStr">
        <is>
          <t>Chỉ notification của chính người dùng được chuyển READ; bấm lặp lại không lỗi và không tạo bản ghi trùng. Gửi lỗi phải vào hàng chờ/retry; không xoá mất lịch sử thông báo.</t>
        </is>
      </c>
      <c r="H54" s="20" t="inlineStr">
        <is>
          <t>sprint-1/fe-khoi</t>
        </is>
      </c>
      <c r="I54" s="20" t="inlineStr">
        <is>
          <t>21/09/2026</t>
        </is>
      </c>
      <c r="J54" s="20" t="inlineStr">
        <is>
          <t>05/10/2026</t>
        </is>
      </c>
      <c r="K54" s="20" t="inlineStr">
        <is>
          <t>Done</t>
        </is>
      </c>
      <c r="L54" s="21" t="inlineStr">
        <is>
          <t>Đã xong, đã merge main</t>
        </is>
      </c>
    </row>
    <row r="55" ht="54.75" customHeight="1" s="16">
      <c r="A55" s="20" t="inlineStr">
        <is>
          <t>S1-51</t>
        </is>
      </c>
      <c r="B55" s="20" t="inlineStr">
        <is>
          <t>UC-PAY-06</t>
        </is>
      </c>
      <c r="C55" s="21" t="inlineStr">
        <is>
          <t>BE – Thanh toán tại quầy (màn 16): nhân viên tạo hoá đơn, ghi nhận số tiền thực thu và hoàn tất payment tại quầy để kích hoạt hoặc gia hạn membership.</t>
        </is>
      </c>
      <c r="D55" s="22" t="inlineStr">
        <is>
          <t>BE</t>
        </is>
      </c>
      <c r="E55" s="20" t="inlineStr">
        <is>
          <t>Nhanh</t>
        </is>
      </c>
      <c r="F55" s="20" t="inlineStr">
        <is>
          <t>Medium</t>
        </is>
      </c>
      <c r="G55" s="21" t="inlineStr">
        <is>
          <t>BR-PAY-14: số tiền thực thu phải đúng giá gói, lễ tân không sửa giá. Hoá đơn, payment và membership được ghi trong một transaction; chỉ PAID mới kích hoạt/gia hạn theo BR-3.2, áp dụng BR-1.3/1.4 và ghi người thu/audit.</t>
        </is>
      </c>
      <c r="H55" s="20" t="inlineStr">
        <is>
          <t>sprint-1/be-nhanh</t>
        </is>
      </c>
      <c r="I55" s="20" t="inlineStr">
        <is>
          <t>21/09/2026</t>
        </is>
      </c>
      <c r="J55" s="20" t="inlineStr">
        <is>
          <t>05/10/2026</t>
        </is>
      </c>
      <c r="K55" s="20" t="inlineStr">
        <is>
          <t>Done</t>
        </is>
      </c>
      <c r="L55" s="21" t="inlineStr">
        <is>
          <t>Đã xong, đã merge main</t>
        </is>
      </c>
    </row>
    <row r="56" ht="54.75" customHeight="1" s="16">
      <c r="A56" s="20" t="inlineStr">
        <is>
          <t>S1-52</t>
        </is>
      </c>
      <c r="B56" s="20" t="inlineStr">
        <is>
          <t>UC-PAY-06</t>
        </is>
      </c>
      <c r="C56" s="21" t="inlineStr">
        <is>
          <t>FE – Thanh toán tại quầy (màn 16): nhân viên tạo hoá đơn, ghi nhận số tiền thực thu và hoàn tất payment tại quầy để kích hoạt hoặc gia hạn membership.</t>
        </is>
      </c>
      <c r="D56" s="23" t="inlineStr">
        <is>
          <t>FE</t>
        </is>
      </c>
      <c r="E56" s="20" t="inlineStr">
        <is>
          <t>Khôi</t>
        </is>
      </c>
      <c r="F56" s="20" t="inlineStr">
        <is>
          <t>Medium</t>
        </is>
      </c>
      <c r="G56" s="21" t="inlineStr">
        <is>
          <t>BR-PAY-14: số tiền thực thu phải đúng giá gói, lễ tân không sửa giá. Hoá đơn, payment và membership được ghi trong một transaction; chỉ PAID mới kích hoạt/gia hạn theo BR-3.2, áp dụng BR-1.3/1.4 và ghi người thu/audit.</t>
        </is>
      </c>
      <c r="H56" s="20" t="inlineStr">
        <is>
          <t>sprint-1/fe-khoi</t>
        </is>
      </c>
      <c r="I56" s="20" t="inlineStr">
        <is>
          <t>21/09/2026</t>
        </is>
      </c>
      <c r="J56" s="20" t="inlineStr">
        <is>
          <t>05/10/2026</t>
        </is>
      </c>
      <c r="K56" s="20" t="inlineStr">
        <is>
          <t>Done</t>
        </is>
      </c>
      <c r="L56" s="21" t="inlineStr">
        <is>
          <t>Đã xong, đã merge main</t>
        </is>
      </c>
    </row>
    <row r="57" ht="54.75" customHeight="1" s="16">
      <c r="A57" s="20" t="inlineStr">
        <is>
          <t>S1-53</t>
        </is>
      </c>
      <c r="B57" s="20" t="inlineStr">
        <is>
          <t>UC-PAY-07</t>
        </is>
      </c>
      <c r="C57" s="21" t="inlineStr">
        <is>
          <t>BE – In / xuất PDF hoá đơn (màn 16, S30): người có quyền tạo bản in/PDF từ hoá đơn, hiển thị mã hoá đơn, gói, số tiền và trạng thái thanh toán.</t>
        </is>
      </c>
      <c r="D57" s="22" t="inlineStr">
        <is>
          <t>BE</t>
        </is>
      </c>
      <c r="E57" s="20" t="inlineStr">
        <is>
          <t>Nhanh</t>
        </is>
      </c>
      <c r="F57" s="20" t="inlineStr">
        <is>
          <t>Medium</t>
        </is>
      </c>
      <c r="G57" s="21" t="inlineStr">
        <is>
          <t>Chỉ in/xuất hoá đơn PAID; số tiền lấy từ bản ghi gốc, thông tin trung tâm lấy từ cấu hình. Hội viên chỉ được in hoá đơn của mình; truy cập ngoài phạm vi trả 403/404 theo policy.</t>
        </is>
      </c>
      <c r="H57" s="20" t="inlineStr">
        <is>
          <t>sprint-1/be-nhanh</t>
        </is>
      </c>
      <c r="I57" s="20" t="inlineStr">
        <is>
          <t>21/09/2026</t>
        </is>
      </c>
      <c r="J57" s="20" t="inlineStr">
        <is>
          <t>05/10/2026</t>
        </is>
      </c>
      <c r="K57" s="20" t="inlineStr">
        <is>
          <t>Done</t>
        </is>
      </c>
      <c r="L57" s="21" t="inlineStr">
        <is>
          <t>Đã xong, đã merge main</t>
        </is>
      </c>
    </row>
    <row r="58" ht="54.75" customHeight="1" s="16">
      <c r="A58" s="20" t="inlineStr">
        <is>
          <t>S1-54</t>
        </is>
      </c>
      <c r="B58" s="20" t="inlineStr">
        <is>
          <t>UC-PAY-07</t>
        </is>
      </c>
      <c r="C58" s="21" t="inlineStr">
        <is>
          <t>FE – In / xuất PDF hoá đơn (màn 16, S30): người có quyền tạo bản in/PDF từ hoá đơn, hiển thị mã hoá đơn, gói, số tiền và trạng thái thanh toán.</t>
        </is>
      </c>
      <c r="D58" s="23" t="inlineStr">
        <is>
          <t>FE</t>
        </is>
      </c>
      <c r="E58" s="20" t="inlineStr">
        <is>
          <t>Khôi</t>
        </is>
      </c>
      <c r="F58" s="20" t="inlineStr">
        <is>
          <t>Medium</t>
        </is>
      </c>
      <c r="G58" s="21" t="inlineStr">
        <is>
          <t>Chỉ in/xuất hoá đơn PAID; số tiền lấy từ bản ghi gốc, thông tin trung tâm lấy từ cấu hình. Hội viên chỉ được in hoá đơn của mình; truy cập ngoài phạm vi trả 403/404 theo policy.</t>
        </is>
      </c>
      <c r="H58" s="20" t="inlineStr">
        <is>
          <t>sprint-1/fe-khoi</t>
        </is>
      </c>
      <c r="I58" s="20" t="inlineStr">
        <is>
          <t>21/09/2026</t>
        </is>
      </c>
      <c r="J58" s="20" t="inlineStr">
        <is>
          <t>05/10/2026</t>
        </is>
      </c>
      <c r="K58" s="20" t="inlineStr">
        <is>
          <t>Done</t>
        </is>
      </c>
      <c r="L58" s="21" t="inlineStr">
        <is>
          <t>Đã xong, đã merge main</t>
        </is>
      </c>
    </row>
    <row r="59" ht="54.75" customHeight="1" s="16">
      <c r="A59" s="20" t="inlineStr">
        <is>
          <t>S1-55</t>
        </is>
      </c>
      <c r="B59" s="20" t="inlineStr">
        <is>
          <t>UC-PAY-10</t>
        </is>
      </c>
      <c r="C59" s="21" t="inlineStr">
        <is>
          <t>BE – Chi tiết hoá đơn (màn S30): hiển thị toàn bộ thông tin hoá đơn, trạng thái, dòng gói, số tiền yêu cầu/thực nhận và payment liên quan theo quyền truy cập.</t>
        </is>
      </c>
      <c r="D59" s="22" t="inlineStr">
        <is>
          <t>BE</t>
        </is>
      </c>
      <c r="E59" s="20" t="inlineStr">
        <is>
          <t>Nhanh</t>
        </is>
      </c>
      <c r="F59" s="20" t="inlineStr">
        <is>
          <t>Simple</t>
        </is>
      </c>
      <c r="G59" s="21" t="inlineStr">
        <is>
          <t>Hiển thị mã, trạng thái Pending/Paid/Failed/Refunded, dòng gói, số tiền yêu cầu/thực nhận, thời điểm và payment liên quan. Chỉ chủ hoá đơn hoặc người có permission được xem; không sửa số tiền và giữ lịch sử theo BR-3.1.</t>
        </is>
      </c>
      <c r="H59" s="20" t="inlineStr">
        <is>
          <t>sprint-1/be-nhanh</t>
        </is>
      </c>
      <c r="I59" s="20" t="inlineStr">
        <is>
          <t>21/09/2026</t>
        </is>
      </c>
      <c r="J59" s="20" t="inlineStr">
        <is>
          <t>05/10/2026</t>
        </is>
      </c>
      <c r="K59" s="20" t="inlineStr">
        <is>
          <t>Done</t>
        </is>
      </c>
      <c r="L59" s="21" t="inlineStr">
        <is>
          <t>Đã xong, đã merge main</t>
        </is>
      </c>
    </row>
    <row r="60" ht="54.75" customHeight="1" s="16">
      <c r="A60" s="20" t="inlineStr">
        <is>
          <t>S1-56</t>
        </is>
      </c>
      <c r="B60" s="20" t="inlineStr">
        <is>
          <t>UC-PAY-10</t>
        </is>
      </c>
      <c r="C60" s="21" t="inlineStr">
        <is>
          <t>FE – Chi tiết hoá đơn (màn S30): hiển thị toàn bộ thông tin hoá đơn, trạng thái, dòng gói, số tiền yêu cầu/thực nhận và payment liên quan theo quyền truy cập.</t>
        </is>
      </c>
      <c r="D60" s="23" t="inlineStr">
        <is>
          <t>FE</t>
        </is>
      </c>
      <c r="E60" s="20" t="inlineStr">
        <is>
          <t>Khôi</t>
        </is>
      </c>
      <c r="F60" s="20" t="inlineStr">
        <is>
          <t>Simple</t>
        </is>
      </c>
      <c r="G60" s="21" t="inlineStr">
        <is>
          <t>Hiển thị mã, trạng thái Pending/Paid/Failed/Refunded, dòng gói, số tiền yêu cầu/thực nhận, thời điểm và payment liên quan. Chỉ chủ hoá đơn hoặc người có permission được xem; không sửa số tiền và giữ lịch sử theo BR-3.1.</t>
        </is>
      </c>
      <c r="H60" s="20" t="inlineStr">
        <is>
          <t>sprint-1/fe-khoi</t>
        </is>
      </c>
      <c r="I60" s="20" t="inlineStr">
        <is>
          <t>21/09/2026</t>
        </is>
      </c>
      <c r="J60" s="20" t="inlineStr">
        <is>
          <t>05/10/2026</t>
        </is>
      </c>
      <c r="K60" s="20" t="inlineStr">
        <is>
          <t>Done</t>
        </is>
      </c>
      <c r="L60" s="21" t="inlineStr">
        <is>
          <t>Đã xong, đã merge main</t>
        </is>
      </c>
    </row>
    <row r="61" ht="13.5" customHeight="1" s="16"/>
    <row r="62" ht="13.5" customHeight="1" s="16"/>
    <row r="63" ht="13.5" customHeight="1" s="16"/>
    <row r="64" ht="13.5" customHeight="1" s="16"/>
    <row r="65" ht="13.5" customHeight="1" s="16"/>
    <row r="66" ht="13.5" customHeight="1" s="16"/>
    <row r="67" ht="13.5" customHeight="1" s="16"/>
    <row r="68" ht="13.5" customHeight="1" s="16"/>
    <row r="69" ht="13.5" customHeight="1" s="16"/>
    <row r="70" ht="13.5" customHeight="1" s="16"/>
    <row r="71" ht="13.5" customHeight="1" s="16"/>
    <row r="72" ht="13.5" customHeight="1" s="16"/>
    <row r="73" ht="13.5" customHeight="1" s="16"/>
    <row r="74" ht="13.5" customHeight="1" s="16"/>
    <row r="75" ht="13.5" customHeight="1" s="16"/>
    <row r="76" ht="13.5" customHeight="1" s="16"/>
    <row r="77" ht="13.5" customHeight="1" s="16"/>
    <row r="78" ht="13.5" customHeight="1" s="16"/>
    <row r="79" ht="13.5" customHeight="1" s="16"/>
    <row r="80" ht="13.5" customHeight="1" s="16"/>
    <row r="81" ht="13.5" customHeight="1" s="16"/>
    <row r="82" ht="13.5" customHeight="1" s="16"/>
    <row r="83" ht="13.5" customHeight="1" s="16"/>
    <row r="84" ht="13.5" customHeight="1" s="16"/>
    <row r="85" ht="13.5" customHeight="1" s="16"/>
    <row r="86" ht="13.5" customHeight="1" s="16"/>
    <row r="87" ht="13.5" customHeight="1" s="16"/>
    <row r="88" ht="13.5" customHeight="1" s="16"/>
    <row r="89" ht="13.5" customHeight="1" s="16"/>
    <row r="90" ht="13.5" customHeight="1" s="16"/>
    <row r="91" ht="13.5" customHeight="1" s="16"/>
    <row r="92" ht="13.5" customHeight="1" s="16"/>
    <row r="93" ht="13.5" customHeight="1" s="16"/>
    <row r="94" ht="13.5" customHeight="1" s="16"/>
    <row r="95" ht="13.5" customHeight="1" s="16"/>
    <row r="96" ht="13.5" customHeight="1" s="16"/>
    <row r="97" ht="13.5" customHeight="1" s="16"/>
    <row r="98" ht="13.5" customHeight="1" s="16"/>
    <row r="99" ht="13.5" customHeight="1" s="16"/>
    <row r="100" ht="13.5" customHeight="1" s="16"/>
    <row r="101" ht="13.5" customHeight="1" s="16"/>
    <row r="102" ht="13.5" customHeight="1" s="16"/>
    <row r="103" ht="13.5" customHeight="1" s="16"/>
    <row r="104" ht="13.5" customHeight="1" s="16"/>
    <row r="105" ht="13.5" customHeight="1" s="16"/>
    <row r="106" ht="13.5" customHeight="1" s="16"/>
    <row r="107" ht="13.5" customHeight="1" s="16"/>
    <row r="108" ht="13.5" customHeight="1" s="16"/>
    <row r="109" ht="13.5" customHeight="1" s="16"/>
    <row r="110" ht="13.5" customHeight="1" s="16"/>
    <row r="111" ht="13.5" customHeight="1" s="16"/>
    <row r="112" ht="13.5" customHeight="1" s="16"/>
    <row r="113" ht="13.5" customHeight="1" s="16"/>
    <row r="114" ht="13.5" customHeight="1" s="16"/>
    <row r="115" ht="13.5" customHeight="1" s="16"/>
    <row r="116" ht="13.5" customHeight="1" s="16"/>
    <row r="117" ht="13.5" customHeight="1" s="16"/>
    <row r="118" ht="13.5" customHeight="1" s="16"/>
    <row r="119" ht="13.5" customHeight="1" s="16"/>
    <row r="120" ht="13.5" customHeight="1" s="16"/>
    <row r="121" ht="13.5" customHeight="1" s="16"/>
    <row r="122" ht="13.5" customHeight="1" s="16"/>
    <row r="123" ht="13.5" customHeight="1" s="16"/>
    <row r="124" ht="13.5" customHeight="1" s="16"/>
    <row r="125" ht="13.5" customHeight="1" s="16"/>
    <row r="126" ht="13.5" customHeight="1" s="16"/>
    <row r="127" ht="13.5" customHeight="1" s="16"/>
    <row r="128" ht="13.5" customHeight="1" s="16"/>
    <row r="129" ht="13.5" customHeight="1" s="16"/>
    <row r="130" ht="13.5" customHeight="1" s="16"/>
    <row r="131" ht="13.5" customHeight="1" s="16"/>
    <row r="132" ht="13.5" customHeight="1" s="16"/>
    <row r="133" ht="13.5" customHeight="1" s="16"/>
    <row r="134" ht="13.5" customHeight="1" s="16"/>
    <row r="135" ht="13.5" customHeight="1" s="16"/>
    <row r="136" ht="13.5" customHeight="1" s="16"/>
    <row r="137" ht="13.5" customHeight="1" s="16"/>
    <row r="138" ht="13.5" customHeight="1" s="16"/>
    <row r="139" ht="13.5" customHeight="1" s="16"/>
    <row r="140" ht="13.5" customHeight="1" s="16"/>
    <row r="141" ht="13.5" customHeight="1" s="16"/>
    <row r="142" ht="13.5" customHeight="1" s="16"/>
    <row r="143" ht="13.5" customHeight="1" s="16"/>
    <row r="144" ht="13.5" customHeight="1" s="16"/>
    <row r="145" ht="13.5" customHeight="1" s="16"/>
    <row r="146" ht="13.5" customHeight="1" s="16"/>
    <row r="147" ht="13.5" customHeight="1" s="16"/>
    <row r="148" ht="13.5" customHeight="1" s="16"/>
    <row r="149" ht="13.5" customHeight="1" s="16"/>
    <row r="150" ht="13.5" customHeight="1" s="16"/>
    <row r="151" ht="13.5" customHeight="1" s="16"/>
    <row r="152" ht="13.5" customHeight="1" s="16"/>
    <row r="153" ht="13.5" customHeight="1" s="16"/>
    <row r="154" ht="13.5" customHeight="1" s="16"/>
    <row r="155" ht="13.5" customHeight="1" s="16"/>
    <row r="156" ht="13.5" customHeight="1" s="16"/>
    <row r="157" ht="13.5" customHeight="1" s="16"/>
    <row r="158" ht="13.5" customHeight="1" s="16"/>
    <row r="159" ht="13.5" customHeight="1" s="16"/>
    <row r="160" ht="13.5" customHeight="1" s="16"/>
    <row r="161" ht="13.5" customHeight="1" s="16"/>
    <row r="162" ht="13.5" customHeight="1" s="16"/>
    <row r="163" ht="13.5" customHeight="1" s="16"/>
    <row r="164" ht="13.5" customHeight="1" s="16"/>
    <row r="165" ht="13.5" customHeight="1" s="16"/>
    <row r="166" ht="13.5" customHeight="1" s="16"/>
    <row r="167" ht="13.5" customHeight="1" s="16"/>
    <row r="168" ht="13.5" customHeight="1" s="16"/>
    <row r="169" ht="13.5" customHeight="1" s="16"/>
    <row r="170" ht="13.5" customHeight="1" s="16"/>
    <row r="171" ht="13.5" customHeight="1" s="16"/>
    <row r="172" ht="13.5" customHeight="1" s="16"/>
    <row r="173" ht="13.5" customHeight="1" s="16"/>
    <row r="174" ht="13.5" customHeight="1" s="16"/>
    <row r="175" ht="13.5" customHeight="1" s="16"/>
    <row r="176" ht="13.5" customHeight="1" s="16"/>
    <row r="177" ht="13.5" customHeight="1" s="16"/>
    <row r="178" ht="13.5" customHeight="1" s="16"/>
    <row r="179" ht="13.5" customHeight="1" s="16"/>
    <row r="180" ht="13.5" customHeight="1" s="16"/>
    <row r="181" ht="13.5" customHeight="1" s="16"/>
    <row r="182" ht="13.5" customHeight="1" s="16"/>
    <row r="183" ht="13.5" customHeight="1" s="16"/>
    <row r="184" ht="13.5" customHeight="1" s="16"/>
    <row r="185" ht="13.5" customHeight="1" s="16"/>
    <row r="186" ht="13.5" customHeight="1" s="16"/>
    <row r="187" ht="13.5" customHeight="1" s="16"/>
    <row r="188" ht="13.5" customHeight="1" s="16"/>
    <row r="189" ht="13.5" customHeight="1" s="16"/>
    <row r="190" ht="13.5" customHeight="1" s="16"/>
    <row r="191" ht="13.5" customHeight="1" s="16"/>
    <row r="192" ht="13.5" customHeight="1" s="16"/>
    <row r="193" ht="13.5" customHeight="1" s="16"/>
    <row r="194" ht="13.5" customHeight="1" s="16"/>
    <row r="195" ht="13.5" customHeight="1" s="16"/>
    <row r="196" ht="13.5" customHeight="1" s="16"/>
    <row r="197" ht="13.5" customHeight="1" s="16"/>
    <row r="198" ht="13.5" customHeight="1" s="16"/>
    <row r="199" ht="13.5" customHeight="1" s="16"/>
    <row r="200" ht="13.5" customHeight="1" s="16"/>
    <row r="201" ht="13.5" customHeight="1" s="16"/>
    <row r="202" ht="13.5" customHeight="1" s="16"/>
    <row r="203" ht="13.5" customHeight="1" s="16"/>
    <row r="204" ht="13.5" customHeight="1" s="16"/>
    <row r="205" ht="13.5" customHeight="1" s="16"/>
    <row r="206" ht="13.5" customHeight="1" s="16"/>
    <row r="207" ht="13.5" customHeight="1" s="16"/>
    <row r="208" ht="13.5" customHeight="1" s="16"/>
    <row r="209" ht="13.5" customHeight="1" s="16"/>
    <row r="210" ht="13.5" customHeight="1" s="16"/>
    <row r="211" ht="13.5" customHeight="1" s="16"/>
    <row r="212" ht="13.5" customHeight="1" s="16"/>
    <row r="213" ht="13.5" customHeight="1" s="16"/>
    <row r="214" ht="13.5" customHeight="1" s="16"/>
    <row r="215" ht="13.5" customHeight="1" s="16"/>
    <row r="216" ht="13.5" customHeight="1" s="16"/>
    <row r="217" ht="13.5" customHeight="1" s="16"/>
    <row r="218" ht="13.5" customHeight="1" s="16"/>
    <row r="219" ht="13.5" customHeight="1" s="16"/>
    <row r="220" ht="13.5" customHeight="1" s="16"/>
    <row r="221" ht="13.5" customHeight="1" s="16"/>
    <row r="222" ht="13.5" customHeight="1" s="16"/>
    <row r="223" ht="13.5" customHeight="1" s="16"/>
    <row r="224" ht="13.5" customHeight="1" s="16"/>
    <row r="225" ht="13.5" customHeight="1" s="16"/>
    <row r="226" ht="13.5" customHeight="1" s="16"/>
    <row r="227" ht="13.5" customHeight="1" s="16"/>
    <row r="228" ht="13.5" customHeight="1" s="16"/>
    <row r="229" ht="13.5" customHeight="1" s="16"/>
    <row r="230" ht="13.5" customHeight="1" s="16"/>
    <row r="231" ht="13.5" customHeight="1" s="16"/>
    <row r="232" ht="13.5" customHeight="1" s="16"/>
    <row r="233" ht="13.5" customHeight="1" s="16"/>
    <row r="234" ht="13.5" customHeight="1" s="16"/>
    <row r="235" ht="13.5" customHeight="1" s="16"/>
    <row r="236" ht="13.5" customHeight="1" s="16"/>
    <row r="237" ht="13.5" customHeight="1" s="16"/>
    <row r="238" ht="13.5" customHeight="1" s="16"/>
    <row r="239" ht="13.5" customHeight="1" s="16"/>
    <row r="240" ht="13.5" customHeight="1" s="16"/>
    <row r="241" ht="13.5" customHeight="1" s="16"/>
    <row r="242" ht="13.5" customHeight="1" s="16"/>
    <row r="243" ht="13.5" customHeight="1" s="16"/>
    <row r="244" ht="13.5" customHeight="1" s="16"/>
    <row r="245" ht="13.5" customHeight="1" s="16"/>
    <row r="246" ht="13.5" customHeight="1" s="16"/>
    <row r="247" ht="13.5" customHeight="1" s="16"/>
    <row r="248" ht="13.5" customHeight="1" s="16"/>
    <row r="249" ht="13.5" customHeight="1" s="16"/>
    <row r="250" ht="13.5" customHeight="1" s="16"/>
    <row r="251" ht="13.5" customHeight="1" s="16"/>
    <row r="252" ht="13.5" customHeight="1" s="16"/>
    <row r="253" ht="13.5" customHeight="1" s="16"/>
    <row r="254" ht="13.5" customHeight="1" s="16"/>
    <row r="255" ht="13.5" customHeight="1" s="16"/>
    <row r="256" ht="13.5" customHeight="1" s="16"/>
    <row r="257" ht="13.5" customHeight="1" s="16"/>
    <row r="258" ht="13.5" customHeight="1" s="16"/>
    <row r="259" ht="13.5" customHeight="1" s="16"/>
    <row r="260" ht="13.5" customHeight="1" s="16"/>
    <row r="261" ht="13.5" customHeight="1" s="16"/>
    <row r="262" ht="13.5" customHeight="1" s="16"/>
    <row r="263" ht="13.5" customHeight="1" s="16"/>
    <row r="264" ht="13.5" customHeight="1" s="16"/>
    <row r="265" ht="13.5" customHeight="1" s="16"/>
    <row r="266" ht="13.5" customHeight="1" s="16"/>
    <row r="267" ht="13.5" customHeight="1" s="16"/>
    <row r="268" ht="13.5" customHeight="1" s="16"/>
    <row r="269" ht="13.5" customHeight="1" s="16"/>
    <row r="270" ht="13.5" customHeight="1" s="16"/>
    <row r="271" ht="13.5" customHeight="1" s="16"/>
    <row r="272" ht="13.5" customHeight="1" s="16"/>
    <row r="273" ht="13.5" customHeight="1" s="16"/>
    <row r="274" ht="13.5" customHeight="1" s="16"/>
    <row r="275" ht="13.5" customHeight="1" s="16"/>
    <row r="276" ht="13.5" customHeight="1" s="16"/>
    <row r="277" ht="13.5" customHeight="1" s="16"/>
    <row r="278" ht="13.5" customHeight="1" s="16"/>
    <row r="279" ht="13.5" customHeight="1" s="16"/>
    <row r="280" ht="13.5" customHeight="1" s="16"/>
    <row r="281" ht="13.5" customHeight="1" s="16"/>
    <row r="282" ht="13.5" customHeight="1" s="16"/>
    <row r="283" ht="13.5" customHeight="1" s="16"/>
    <row r="284" ht="13.5" customHeight="1" s="16"/>
    <row r="285" ht="13.5" customHeight="1" s="16"/>
    <row r="286" ht="13.5" customHeight="1" s="16"/>
    <row r="287" ht="13.5" customHeight="1" s="16"/>
    <row r="288" ht="13.5" customHeight="1" s="16"/>
    <row r="289" ht="13.5" customHeight="1" s="16"/>
    <row r="290" ht="13.5" customHeight="1" s="16"/>
    <row r="291" ht="13.5" customHeight="1" s="16"/>
    <row r="292" ht="13.5" customHeight="1" s="16"/>
    <row r="293" ht="13.5" customHeight="1" s="16"/>
    <row r="294" ht="13.5" customHeight="1" s="16"/>
    <row r="295" ht="13.5" customHeight="1" s="16"/>
    <row r="296" ht="13.5" customHeight="1" s="16"/>
    <row r="297" ht="13.5" customHeight="1" s="16"/>
    <row r="298" ht="13.5" customHeight="1" s="16"/>
    <row r="299" ht="13.5" customHeight="1" s="16"/>
    <row r="300" ht="13.5" customHeight="1" s="16"/>
    <row r="301" ht="13.5" customHeight="1" s="16"/>
    <row r="302" ht="13.5" customHeight="1" s="16"/>
    <row r="303" ht="13.5" customHeight="1" s="16"/>
    <row r="304" ht="13.5" customHeight="1" s="16"/>
    <row r="305" ht="13.5" customHeight="1" s="16"/>
    <row r="306" ht="13.5" customHeight="1" s="16"/>
    <row r="307" ht="13.5" customHeight="1" s="16"/>
    <row r="308" ht="13.5" customHeight="1" s="16"/>
    <row r="309" ht="13.5" customHeight="1" s="16"/>
    <row r="310" ht="13.5" customHeight="1" s="16"/>
    <row r="311" ht="13.5" customHeight="1" s="16"/>
    <row r="312" ht="13.5" customHeight="1" s="16"/>
    <row r="313" ht="13.5" customHeight="1" s="16"/>
    <row r="314" ht="13.5" customHeight="1" s="16"/>
    <row r="315" ht="13.5" customHeight="1" s="16"/>
    <row r="316" ht="13.5" customHeight="1" s="16"/>
    <row r="317" ht="13.5" customHeight="1" s="16"/>
    <row r="318" ht="13.5" customHeight="1" s="16"/>
    <row r="319" ht="13.5" customHeight="1" s="16"/>
    <row r="320" ht="13.5" customHeight="1" s="16"/>
    <row r="321" ht="13.5" customHeight="1" s="16"/>
    <row r="322" ht="13.5" customHeight="1" s="16"/>
    <row r="323" ht="13.5" customHeight="1" s="16"/>
    <row r="324" ht="13.5" customHeight="1" s="16"/>
    <row r="325" ht="13.5" customHeight="1" s="16"/>
    <row r="326" ht="13.5" customHeight="1" s="16"/>
    <row r="327" ht="13.5" customHeight="1" s="16"/>
    <row r="328" ht="13.5" customHeight="1" s="16"/>
    <row r="329" ht="13.5" customHeight="1" s="16"/>
    <row r="330" ht="13.5" customHeight="1" s="16"/>
    <row r="331" ht="13.5" customHeight="1" s="16"/>
    <row r="332" ht="13.5" customHeight="1" s="16"/>
    <row r="333" ht="13.5" customHeight="1" s="16"/>
    <row r="334" ht="13.5" customHeight="1" s="16"/>
    <row r="335" ht="13.5" customHeight="1" s="16"/>
    <row r="336" ht="13.5" customHeight="1" s="16"/>
    <row r="337" ht="13.5" customHeight="1" s="16"/>
    <row r="338" ht="13.5" customHeight="1" s="16"/>
    <row r="339" ht="13.5" customHeight="1" s="16"/>
    <row r="340" ht="13.5" customHeight="1" s="16"/>
    <row r="341" ht="13.5" customHeight="1" s="16"/>
    <row r="342" ht="13.5" customHeight="1" s="16"/>
    <row r="343" ht="13.5" customHeight="1" s="16"/>
    <row r="344" ht="13.5" customHeight="1" s="16"/>
    <row r="345" ht="13.5" customHeight="1" s="16"/>
    <row r="346" ht="13.5" customHeight="1" s="16"/>
    <row r="347" ht="13.5" customHeight="1" s="16"/>
    <row r="348" ht="13.5" customHeight="1" s="16"/>
    <row r="349" ht="13.5" customHeight="1" s="16"/>
    <row r="350" ht="13.5" customHeight="1" s="16"/>
    <row r="351" ht="13.5" customHeight="1" s="16"/>
    <row r="352" ht="13.5" customHeight="1" s="16"/>
    <row r="353" ht="13.5" customHeight="1" s="16"/>
    <row r="354" ht="13.5" customHeight="1" s="16"/>
    <row r="355" ht="13.5" customHeight="1" s="16"/>
    <row r="356" ht="13.5" customHeight="1" s="16"/>
    <row r="357" ht="13.5" customHeight="1" s="16"/>
    <row r="358" ht="13.5" customHeight="1" s="16"/>
    <row r="359" ht="13.5" customHeight="1" s="16"/>
    <row r="360" ht="13.5" customHeight="1" s="16"/>
    <row r="361" ht="13.5" customHeight="1" s="16"/>
    <row r="362" ht="13.5" customHeight="1" s="16"/>
    <row r="363" ht="13.5" customHeight="1" s="16"/>
    <row r="364" ht="13.5" customHeight="1" s="16"/>
    <row r="365" ht="13.5" customHeight="1" s="16"/>
    <row r="366" ht="13.5" customHeight="1" s="16"/>
    <row r="367" ht="13.5" customHeight="1" s="16"/>
    <row r="368" ht="13.5" customHeight="1" s="16"/>
    <row r="369" ht="13.5" customHeight="1" s="16"/>
    <row r="370" ht="13.5" customHeight="1" s="16"/>
    <row r="371" ht="13.5" customHeight="1" s="16"/>
    <row r="372" ht="13.5" customHeight="1" s="16"/>
    <row r="373" ht="13.5" customHeight="1" s="16"/>
    <row r="374" ht="13.5" customHeight="1" s="16"/>
    <row r="375" ht="13.5" customHeight="1" s="16"/>
    <row r="376" ht="13.5" customHeight="1" s="16"/>
    <row r="377" ht="13.5" customHeight="1" s="16"/>
    <row r="378" ht="13.5" customHeight="1" s="16"/>
    <row r="379" ht="13.5" customHeight="1" s="16"/>
    <row r="380" ht="13.5" customHeight="1" s="16"/>
    <row r="381" ht="13.5" customHeight="1" s="16"/>
    <row r="382" ht="13.5" customHeight="1" s="16"/>
    <row r="383" ht="13.5" customHeight="1" s="16"/>
    <row r="384" ht="13.5" customHeight="1" s="16"/>
    <row r="385" ht="13.5" customHeight="1" s="16"/>
    <row r="386" ht="13.5" customHeight="1" s="16"/>
    <row r="387" ht="13.5" customHeight="1" s="16"/>
    <row r="388" ht="13.5" customHeight="1" s="16"/>
    <row r="389" ht="13.5" customHeight="1" s="16"/>
    <row r="390" ht="13.5" customHeight="1" s="16"/>
    <row r="391" ht="13.5" customHeight="1" s="16"/>
    <row r="392" ht="13.5" customHeight="1" s="16"/>
    <row r="393" ht="13.5" customHeight="1" s="16"/>
    <row r="394" ht="13.5" customHeight="1" s="16"/>
    <row r="395" ht="13.5" customHeight="1" s="16"/>
    <row r="396" ht="13.5" customHeight="1" s="16"/>
    <row r="397" ht="13.5" customHeight="1" s="16"/>
    <row r="398" ht="13.5" customHeight="1" s="16"/>
    <row r="399" ht="13.5" customHeight="1" s="16"/>
    <row r="400" ht="13.5" customHeight="1" s="16"/>
    <row r="401" ht="13.5" customHeight="1" s="16"/>
    <row r="402" ht="13.5" customHeight="1" s="16"/>
    <row r="403" ht="13.5" customHeight="1" s="16"/>
    <row r="404" ht="13.5" customHeight="1" s="16"/>
    <row r="405" ht="13.5" customHeight="1" s="16"/>
    <row r="406" ht="13.5" customHeight="1" s="16"/>
    <row r="407" ht="13.5" customHeight="1" s="16"/>
    <row r="408" ht="13.5" customHeight="1" s="16"/>
    <row r="409" ht="13.5" customHeight="1" s="16"/>
    <row r="410" ht="13.5" customHeight="1" s="16"/>
    <row r="411" ht="13.5" customHeight="1" s="16"/>
    <row r="412" ht="13.5" customHeight="1" s="16"/>
    <row r="413" ht="13.5" customHeight="1" s="16"/>
    <row r="414" ht="13.5" customHeight="1" s="16"/>
    <row r="415" ht="13.5" customHeight="1" s="16"/>
    <row r="416" ht="13.5" customHeight="1" s="16"/>
    <row r="417" ht="13.5" customHeight="1" s="16"/>
    <row r="418" ht="13.5" customHeight="1" s="16"/>
    <row r="419" ht="13.5" customHeight="1" s="16"/>
    <row r="420" ht="13.5" customHeight="1" s="16"/>
    <row r="421" ht="13.5" customHeight="1" s="16"/>
    <row r="422" ht="13.5" customHeight="1" s="16"/>
    <row r="423" ht="13.5" customHeight="1" s="16"/>
    <row r="424" ht="13.5" customHeight="1" s="16"/>
    <row r="425" ht="13.5" customHeight="1" s="16"/>
    <row r="426" ht="13.5" customHeight="1" s="16"/>
    <row r="427" ht="13.5" customHeight="1" s="16"/>
    <row r="428" ht="13.5" customHeight="1" s="16"/>
    <row r="429" ht="13.5" customHeight="1" s="16"/>
    <row r="430" ht="13.5" customHeight="1" s="16"/>
    <row r="431" ht="13.5" customHeight="1" s="16"/>
    <row r="432" ht="13.5" customHeight="1" s="16"/>
    <row r="433" ht="13.5" customHeight="1" s="16"/>
    <row r="434" ht="13.5" customHeight="1" s="16"/>
    <row r="435" ht="13.5" customHeight="1" s="16"/>
    <row r="436" ht="13.5" customHeight="1" s="16"/>
    <row r="437" ht="13.5" customHeight="1" s="16"/>
    <row r="438" ht="13.5" customHeight="1" s="16"/>
    <row r="439" ht="13.5" customHeight="1" s="16"/>
    <row r="440" ht="13.5" customHeight="1" s="16"/>
    <row r="441" ht="13.5" customHeight="1" s="16"/>
    <row r="442" ht="13.5" customHeight="1" s="16"/>
    <row r="443" ht="13.5" customHeight="1" s="16"/>
    <row r="444" ht="13.5" customHeight="1" s="16"/>
    <row r="445" ht="13.5" customHeight="1" s="16"/>
    <row r="446" ht="13.5" customHeight="1" s="16"/>
    <row r="447" ht="13.5" customHeight="1" s="16"/>
    <row r="448" ht="13.5" customHeight="1" s="16"/>
    <row r="449" ht="13.5" customHeight="1" s="16"/>
    <row r="450" ht="13.5" customHeight="1" s="16"/>
    <row r="451" ht="13.5" customHeight="1" s="16"/>
    <row r="452" ht="13.5" customHeight="1" s="16"/>
    <row r="453" ht="13.5" customHeight="1" s="16"/>
    <row r="454" ht="13.5" customHeight="1" s="16"/>
    <row r="455" ht="13.5" customHeight="1" s="16"/>
    <row r="456" ht="13.5" customHeight="1" s="16"/>
    <row r="457" ht="13.5" customHeight="1" s="16"/>
    <row r="458" ht="13.5" customHeight="1" s="16"/>
    <row r="459" ht="13.5" customHeight="1" s="16"/>
    <row r="460" ht="13.5" customHeight="1" s="16"/>
    <row r="461" ht="13.5" customHeight="1" s="16"/>
    <row r="462" ht="13.5" customHeight="1" s="16"/>
    <row r="463" ht="13.5" customHeight="1" s="16"/>
    <row r="464" ht="13.5" customHeight="1" s="16"/>
    <row r="465" ht="13.5" customHeight="1" s="16"/>
    <row r="466" ht="13.5" customHeight="1" s="16"/>
    <row r="467" ht="13.5" customHeight="1" s="16"/>
    <row r="468" ht="13.5" customHeight="1" s="16"/>
    <row r="469" ht="13.5" customHeight="1" s="16"/>
    <row r="470" ht="13.5" customHeight="1" s="16"/>
    <row r="471" ht="13.5" customHeight="1" s="16"/>
    <row r="472" ht="13.5" customHeight="1" s="16"/>
    <row r="473" ht="13.5" customHeight="1" s="16"/>
    <row r="474" ht="13.5" customHeight="1" s="16"/>
    <row r="475" ht="13.5" customHeight="1" s="16"/>
    <row r="476" ht="13.5" customHeight="1" s="16"/>
    <row r="477" ht="13.5" customHeight="1" s="16"/>
    <row r="478" ht="13.5" customHeight="1" s="16"/>
    <row r="479" ht="13.5" customHeight="1" s="16"/>
    <row r="480" ht="13.5" customHeight="1" s="16"/>
    <row r="481" ht="13.5" customHeight="1" s="16"/>
    <row r="482" ht="13.5" customHeight="1" s="16"/>
    <row r="483" ht="13.5" customHeight="1" s="16"/>
    <row r="484" ht="13.5" customHeight="1" s="16"/>
    <row r="485" ht="13.5" customHeight="1" s="16"/>
    <row r="486" ht="13.5" customHeight="1" s="16"/>
    <row r="487" ht="13.5" customHeight="1" s="16"/>
    <row r="488" ht="13.5" customHeight="1" s="16"/>
    <row r="489" ht="13.5" customHeight="1" s="16"/>
    <row r="490" ht="13.5" customHeight="1" s="16"/>
    <row r="491" ht="13.5" customHeight="1" s="16"/>
    <row r="492" ht="13.5" customHeight="1" s="16"/>
    <row r="493" ht="13.5" customHeight="1" s="16"/>
    <row r="494" ht="13.5" customHeight="1" s="16"/>
    <row r="495" ht="13.5" customHeight="1" s="16"/>
    <row r="496" ht="13.5" customHeight="1" s="16"/>
    <row r="497" ht="13.5" customHeight="1" s="16"/>
    <row r="498" ht="13.5" customHeight="1" s="16"/>
    <row r="499" ht="13.5" customHeight="1" s="16"/>
    <row r="500" ht="13.5" customHeight="1" s="16"/>
    <row r="501" ht="13.5" customHeight="1" s="16"/>
    <row r="502" ht="13.5" customHeight="1" s="16"/>
    <row r="503" ht="13.5" customHeight="1" s="16"/>
    <row r="504" ht="13.5" customHeight="1" s="16"/>
    <row r="505" ht="13.5" customHeight="1" s="16"/>
    <row r="506" ht="13.5" customHeight="1" s="16"/>
    <row r="507" ht="13.5" customHeight="1" s="16"/>
    <row r="508" ht="13.5" customHeight="1" s="16"/>
    <row r="509" ht="13.5" customHeight="1" s="16"/>
    <row r="510" ht="13.5" customHeight="1" s="16"/>
    <row r="511" ht="13.5" customHeight="1" s="16"/>
    <row r="512" ht="13.5" customHeight="1" s="16"/>
    <row r="513" ht="13.5" customHeight="1" s="16"/>
    <row r="514" ht="13.5" customHeight="1" s="16"/>
    <row r="515" ht="13.5" customHeight="1" s="16"/>
    <row r="516" ht="13.5" customHeight="1" s="16"/>
    <row r="517" ht="13.5" customHeight="1" s="16"/>
    <row r="518" ht="13.5" customHeight="1" s="16"/>
    <row r="519" ht="13.5" customHeight="1" s="16"/>
    <row r="520" ht="13.5" customHeight="1" s="16"/>
    <row r="521" ht="13.5" customHeight="1" s="16"/>
    <row r="522" ht="13.5" customHeight="1" s="16"/>
    <row r="523" ht="13.5" customHeight="1" s="16"/>
    <row r="524" ht="13.5" customHeight="1" s="16"/>
    <row r="525" ht="13.5" customHeight="1" s="16"/>
    <row r="526" ht="13.5" customHeight="1" s="16"/>
    <row r="527" ht="13.5" customHeight="1" s="16"/>
    <row r="528" ht="13.5" customHeight="1" s="16"/>
    <row r="529" ht="13.5" customHeight="1" s="16"/>
    <row r="530" ht="13.5" customHeight="1" s="16"/>
    <row r="531" ht="13.5" customHeight="1" s="16"/>
    <row r="532" ht="13.5" customHeight="1" s="16"/>
    <row r="533" ht="13.5" customHeight="1" s="16"/>
    <row r="534" ht="13.5" customHeight="1" s="16"/>
    <row r="535" ht="13.5" customHeight="1" s="16"/>
    <row r="536" ht="13.5" customHeight="1" s="16"/>
    <row r="537" ht="13.5" customHeight="1" s="16"/>
    <row r="538" ht="13.5" customHeight="1" s="16"/>
    <row r="539" ht="13.5" customHeight="1" s="16"/>
    <row r="540" ht="13.5" customHeight="1" s="16"/>
    <row r="541" ht="13.5" customHeight="1" s="16"/>
    <row r="542" ht="13.5" customHeight="1" s="16"/>
    <row r="543" ht="13.5" customHeight="1" s="16"/>
    <row r="544" ht="13.5" customHeight="1" s="16"/>
    <row r="545" ht="13.5" customHeight="1" s="16"/>
    <row r="546" ht="13.5" customHeight="1" s="16"/>
    <row r="547" ht="13.5" customHeight="1" s="16"/>
    <row r="548" ht="13.5" customHeight="1" s="16"/>
    <row r="549" ht="13.5" customHeight="1" s="16"/>
    <row r="550" ht="13.5" customHeight="1" s="16"/>
    <row r="551" ht="13.5" customHeight="1" s="16"/>
    <row r="552" ht="13.5" customHeight="1" s="16"/>
    <row r="553" ht="13.5" customHeight="1" s="16"/>
    <row r="554" ht="13.5" customHeight="1" s="16"/>
    <row r="555" ht="13.5" customHeight="1" s="16"/>
    <row r="556" ht="13.5" customHeight="1" s="16"/>
    <row r="557" ht="13.5" customHeight="1" s="16"/>
    <row r="558" ht="13.5" customHeight="1" s="16"/>
    <row r="559" ht="13.5" customHeight="1" s="16"/>
    <row r="560" ht="13.5" customHeight="1" s="16"/>
    <row r="561" ht="13.5" customHeight="1" s="16"/>
    <row r="562" ht="13.5" customHeight="1" s="16"/>
    <row r="563" ht="13.5" customHeight="1" s="16"/>
    <row r="564" ht="13.5" customHeight="1" s="16"/>
    <row r="565" ht="13.5" customHeight="1" s="16"/>
    <row r="566" ht="13.5" customHeight="1" s="16"/>
    <row r="567" ht="13.5" customHeight="1" s="16"/>
    <row r="568" ht="13.5" customHeight="1" s="16"/>
    <row r="569" ht="13.5" customHeight="1" s="16"/>
    <row r="570" ht="13.5" customHeight="1" s="16"/>
    <row r="571" ht="13.5" customHeight="1" s="16"/>
    <row r="572" ht="13.5" customHeight="1" s="16"/>
    <row r="573" ht="13.5" customHeight="1" s="16"/>
    <row r="574" ht="13.5" customHeight="1" s="16"/>
    <row r="575" ht="13.5" customHeight="1" s="16"/>
    <row r="576" ht="13.5" customHeight="1" s="16"/>
    <row r="577" ht="13.5" customHeight="1" s="16"/>
    <row r="578" ht="13.5" customHeight="1" s="16"/>
    <row r="579" ht="13.5" customHeight="1" s="16"/>
    <row r="580" ht="13.5" customHeight="1" s="16"/>
    <row r="581" ht="13.5" customHeight="1" s="16"/>
    <row r="582" ht="13.5" customHeight="1" s="16"/>
    <row r="583" ht="13.5" customHeight="1" s="16"/>
    <row r="584" ht="13.5" customHeight="1" s="16"/>
    <row r="585" ht="13.5" customHeight="1" s="16"/>
    <row r="586" ht="13.5" customHeight="1" s="16"/>
    <row r="587" ht="13.5" customHeight="1" s="16"/>
    <row r="588" ht="13.5" customHeight="1" s="16"/>
    <row r="589" ht="13.5" customHeight="1" s="16"/>
    <row r="590" ht="13.5" customHeight="1" s="16"/>
    <row r="591" ht="13.5" customHeight="1" s="16"/>
    <row r="592" ht="13.5" customHeight="1" s="16"/>
    <row r="593" ht="13.5" customHeight="1" s="16"/>
    <row r="594" ht="13.5" customHeight="1" s="16"/>
    <row r="595" ht="13.5" customHeight="1" s="16"/>
    <row r="596" ht="13.5" customHeight="1" s="16"/>
    <row r="597" ht="13.5" customHeight="1" s="16"/>
    <row r="598" ht="13.5" customHeight="1" s="16"/>
    <row r="599" ht="13.5" customHeight="1" s="16"/>
    <row r="600" ht="13.5" customHeight="1" s="16"/>
    <row r="601" ht="13.5" customHeight="1" s="16"/>
    <row r="602" ht="13.5" customHeight="1" s="16"/>
    <row r="603" ht="13.5" customHeight="1" s="16"/>
    <row r="604" ht="13.5" customHeight="1" s="16"/>
    <row r="605" ht="13.5" customHeight="1" s="16"/>
    <row r="606" ht="13.5" customHeight="1" s="16"/>
    <row r="607" ht="13.5" customHeight="1" s="16"/>
    <row r="608" ht="13.5" customHeight="1" s="16"/>
    <row r="609" ht="13.5" customHeight="1" s="16"/>
    <row r="610" ht="13.5" customHeight="1" s="16"/>
    <row r="611" ht="13.5" customHeight="1" s="16"/>
    <row r="612" ht="13.5" customHeight="1" s="16"/>
    <row r="613" ht="13.5" customHeight="1" s="16"/>
    <row r="614" ht="13.5" customHeight="1" s="16"/>
    <row r="615" ht="13.5" customHeight="1" s="16"/>
    <row r="616" ht="13.5" customHeight="1" s="16"/>
    <row r="617" ht="13.5" customHeight="1" s="16"/>
    <row r="618" ht="13.5" customHeight="1" s="16"/>
    <row r="619" ht="13.5" customHeight="1" s="16"/>
    <row r="620" ht="13.5" customHeight="1" s="16"/>
    <row r="621" ht="13.5" customHeight="1" s="16"/>
    <row r="622" ht="13.5" customHeight="1" s="16"/>
    <row r="623" ht="13.5" customHeight="1" s="16"/>
    <row r="624" ht="13.5" customHeight="1" s="16"/>
    <row r="625" ht="13.5" customHeight="1" s="16"/>
    <row r="626" ht="13.5" customHeight="1" s="16"/>
    <row r="627" ht="13.5" customHeight="1" s="16"/>
    <row r="628" ht="13.5" customHeight="1" s="16"/>
    <row r="629" ht="13.5" customHeight="1" s="16"/>
    <row r="630" ht="13.5" customHeight="1" s="16"/>
    <row r="631" ht="13.5" customHeight="1" s="16"/>
    <row r="632" ht="13.5" customHeight="1" s="16"/>
    <row r="633" ht="13.5" customHeight="1" s="16"/>
    <row r="634" ht="13.5" customHeight="1" s="16"/>
    <row r="635" ht="13.5" customHeight="1" s="16"/>
    <row r="636" ht="13.5" customHeight="1" s="16"/>
    <row r="637" ht="13.5" customHeight="1" s="16"/>
    <row r="638" ht="13.5" customHeight="1" s="16"/>
    <row r="639" ht="13.5" customHeight="1" s="16"/>
    <row r="640" ht="13.5" customHeight="1" s="16"/>
    <row r="641" ht="13.5" customHeight="1" s="16"/>
    <row r="642" ht="13.5" customHeight="1" s="16"/>
    <row r="643" ht="13.5" customHeight="1" s="16"/>
    <row r="644" ht="13.5" customHeight="1" s="16"/>
    <row r="645" ht="13.5" customHeight="1" s="16"/>
    <row r="646" ht="13.5" customHeight="1" s="16"/>
    <row r="647" ht="13.5" customHeight="1" s="16"/>
    <row r="648" ht="13.5" customHeight="1" s="16"/>
    <row r="649" ht="13.5" customHeight="1" s="16"/>
    <row r="650" ht="13.5" customHeight="1" s="16"/>
    <row r="651" ht="13.5" customHeight="1" s="16"/>
    <row r="652" ht="13.5" customHeight="1" s="16"/>
    <row r="653" ht="13.5" customHeight="1" s="16"/>
    <row r="654" ht="13.5" customHeight="1" s="16"/>
    <row r="655" ht="13.5" customHeight="1" s="16"/>
    <row r="656" ht="13.5" customHeight="1" s="16"/>
    <row r="657" ht="13.5" customHeight="1" s="16"/>
    <row r="658" ht="13.5" customHeight="1" s="16"/>
    <row r="659" ht="13.5" customHeight="1" s="16"/>
    <row r="660" ht="13.5" customHeight="1" s="16"/>
    <row r="661" ht="13.5" customHeight="1" s="16"/>
    <row r="662" ht="13.5" customHeight="1" s="16"/>
    <row r="663" ht="13.5" customHeight="1" s="16"/>
    <row r="664" ht="13.5" customHeight="1" s="16"/>
    <row r="665" ht="13.5" customHeight="1" s="16"/>
    <row r="666" ht="13.5" customHeight="1" s="16"/>
    <row r="667" ht="13.5" customHeight="1" s="16"/>
    <row r="668" ht="13.5" customHeight="1" s="16"/>
    <row r="669" ht="13.5" customHeight="1" s="16"/>
    <row r="670" ht="13.5" customHeight="1" s="16"/>
    <row r="671" ht="13.5" customHeight="1" s="16"/>
    <row r="672" ht="13.5" customHeight="1" s="16"/>
    <row r="673" ht="13.5" customHeight="1" s="16"/>
    <row r="674" ht="13.5" customHeight="1" s="16"/>
    <row r="675" ht="13.5" customHeight="1" s="16"/>
    <row r="676" ht="13.5" customHeight="1" s="16"/>
    <row r="677" ht="13.5" customHeight="1" s="16"/>
    <row r="678" ht="13.5" customHeight="1" s="16"/>
    <row r="679" ht="13.5" customHeight="1" s="16"/>
    <row r="680" ht="13.5" customHeight="1" s="16"/>
    <row r="681" ht="13.5" customHeight="1" s="16"/>
    <row r="682" ht="13.5" customHeight="1" s="16"/>
    <row r="683" ht="13.5" customHeight="1" s="16"/>
    <row r="684" ht="13.5" customHeight="1" s="16"/>
    <row r="685" ht="13.5" customHeight="1" s="16"/>
    <row r="686" ht="13.5" customHeight="1" s="16"/>
    <row r="687" ht="13.5" customHeight="1" s="16"/>
    <row r="688" ht="13.5" customHeight="1" s="16"/>
    <row r="689" ht="13.5" customHeight="1" s="16"/>
    <row r="690" ht="13.5" customHeight="1" s="16"/>
    <row r="691" ht="13.5" customHeight="1" s="16"/>
    <row r="692" ht="13.5" customHeight="1" s="16"/>
    <row r="693" ht="13.5" customHeight="1" s="16"/>
    <row r="694" ht="13.5" customHeight="1" s="16"/>
    <row r="695" ht="13.5" customHeight="1" s="16"/>
    <row r="696" ht="13.5" customHeight="1" s="16"/>
    <row r="697" ht="13.5" customHeight="1" s="16"/>
    <row r="698" ht="13.5" customHeight="1" s="16"/>
    <row r="699" ht="13.5" customHeight="1" s="16"/>
    <row r="700" ht="13.5" customHeight="1" s="16"/>
    <row r="701" ht="13.5" customHeight="1" s="16"/>
    <row r="702" ht="13.5" customHeight="1" s="16"/>
    <row r="703" ht="13.5" customHeight="1" s="16"/>
    <row r="704" ht="13.5" customHeight="1" s="16"/>
    <row r="705" ht="13.5" customHeight="1" s="16"/>
    <row r="706" ht="13.5" customHeight="1" s="16"/>
    <row r="707" ht="13.5" customHeight="1" s="16"/>
    <row r="708" ht="13.5" customHeight="1" s="16"/>
    <row r="709" ht="13.5" customHeight="1" s="16"/>
    <row r="710" ht="13.5" customHeight="1" s="16"/>
    <row r="711" ht="13.5" customHeight="1" s="16"/>
    <row r="712" ht="13.5" customHeight="1" s="16"/>
    <row r="713" ht="13.5" customHeight="1" s="16"/>
    <row r="714" ht="13.5" customHeight="1" s="16"/>
    <row r="715" ht="13.5" customHeight="1" s="16"/>
    <row r="716" ht="13.5" customHeight="1" s="16"/>
    <row r="717" ht="13.5" customHeight="1" s="16"/>
    <row r="718" ht="13.5" customHeight="1" s="16"/>
    <row r="719" ht="13.5" customHeight="1" s="16"/>
    <row r="720" ht="13.5" customHeight="1" s="16"/>
    <row r="721" ht="13.5" customHeight="1" s="16"/>
    <row r="722" ht="13.5" customHeight="1" s="16"/>
    <row r="723" ht="13.5" customHeight="1" s="16"/>
    <row r="724" ht="13.5" customHeight="1" s="16"/>
    <row r="725" ht="13.5" customHeight="1" s="16"/>
    <row r="726" ht="13.5" customHeight="1" s="16"/>
    <row r="727" ht="13.5" customHeight="1" s="16"/>
    <row r="728" ht="13.5" customHeight="1" s="16"/>
    <row r="729" ht="13.5" customHeight="1" s="16"/>
    <row r="730" ht="13.5" customHeight="1" s="16"/>
    <row r="731" ht="13.5" customHeight="1" s="16"/>
    <row r="732" ht="13.5" customHeight="1" s="16"/>
    <row r="733" ht="13.5" customHeight="1" s="16"/>
    <row r="734" ht="13.5" customHeight="1" s="16"/>
    <row r="735" ht="13.5" customHeight="1" s="16"/>
    <row r="736" ht="13.5" customHeight="1" s="16"/>
    <row r="737" ht="13.5" customHeight="1" s="16"/>
    <row r="738" ht="13.5" customHeight="1" s="16"/>
    <row r="739" ht="13.5" customHeight="1" s="16"/>
    <row r="740" ht="13.5" customHeight="1" s="16"/>
    <row r="741" ht="13.5" customHeight="1" s="16"/>
    <row r="742" ht="13.5" customHeight="1" s="16"/>
    <row r="743" ht="13.5" customHeight="1" s="16"/>
    <row r="744" ht="13.5" customHeight="1" s="16"/>
    <row r="745" ht="13.5" customHeight="1" s="16"/>
    <row r="746" ht="13.5" customHeight="1" s="16"/>
    <row r="747" ht="13.5" customHeight="1" s="16"/>
    <row r="748" ht="13.5" customHeight="1" s="16"/>
    <row r="749" ht="13.5" customHeight="1" s="16"/>
    <row r="750" ht="13.5" customHeight="1" s="16"/>
    <row r="751" ht="13.5" customHeight="1" s="16"/>
    <row r="752" ht="13.5" customHeight="1" s="16"/>
    <row r="753" ht="13.5" customHeight="1" s="16"/>
    <row r="754" ht="13.5" customHeight="1" s="16"/>
    <row r="755" ht="13.5" customHeight="1" s="16"/>
    <row r="756" ht="13.5" customHeight="1" s="16"/>
    <row r="757" ht="13.5" customHeight="1" s="16"/>
    <row r="758" ht="13.5" customHeight="1" s="16"/>
    <row r="759" ht="13.5" customHeight="1" s="16"/>
    <row r="760" ht="13.5" customHeight="1" s="16"/>
    <row r="761" ht="13.5" customHeight="1" s="16"/>
    <row r="762" ht="13.5" customHeight="1" s="16"/>
    <row r="763" ht="13.5" customHeight="1" s="16"/>
    <row r="764" ht="13.5" customHeight="1" s="16"/>
    <row r="765" ht="13.5" customHeight="1" s="16"/>
    <row r="766" ht="13.5" customHeight="1" s="16"/>
    <row r="767" ht="13.5" customHeight="1" s="16"/>
    <row r="768" ht="13.5" customHeight="1" s="16"/>
    <row r="769" ht="13.5" customHeight="1" s="16"/>
    <row r="770" ht="13.5" customHeight="1" s="16"/>
    <row r="771" ht="13.5" customHeight="1" s="16"/>
    <row r="772" ht="13.5" customHeight="1" s="16"/>
    <row r="773" ht="13.5" customHeight="1" s="16"/>
    <row r="774" ht="13.5" customHeight="1" s="16"/>
    <row r="775" ht="13.5" customHeight="1" s="16"/>
    <row r="776" ht="13.5" customHeight="1" s="16"/>
    <row r="777" ht="13.5" customHeight="1" s="16"/>
    <row r="778" ht="13.5" customHeight="1" s="16"/>
    <row r="779" ht="13.5" customHeight="1" s="16"/>
    <row r="780" ht="13.5" customHeight="1" s="16"/>
    <row r="781" ht="13.5" customHeight="1" s="16"/>
    <row r="782" ht="13.5" customHeight="1" s="16"/>
    <row r="783" ht="13.5" customHeight="1" s="16"/>
    <row r="784" ht="13.5" customHeight="1" s="16"/>
    <row r="785" ht="13.5" customHeight="1" s="16"/>
    <row r="786" ht="13.5" customHeight="1" s="16"/>
    <row r="787" ht="13.5" customHeight="1" s="16"/>
    <row r="788" ht="13.5" customHeight="1" s="16"/>
    <row r="789" ht="13.5" customHeight="1" s="16"/>
    <row r="790" ht="13.5" customHeight="1" s="16"/>
    <row r="791" ht="13.5" customHeight="1" s="16"/>
    <row r="792" ht="13.5" customHeight="1" s="16"/>
    <row r="793" ht="13.5" customHeight="1" s="16"/>
    <row r="794" ht="13.5" customHeight="1" s="16"/>
    <row r="795" ht="13.5" customHeight="1" s="16"/>
    <row r="796" ht="13.5" customHeight="1" s="16"/>
    <row r="797" ht="13.5" customHeight="1" s="16"/>
    <row r="798" ht="13.5" customHeight="1" s="16"/>
    <row r="799" ht="13.5" customHeight="1" s="16"/>
    <row r="800" ht="13.5" customHeight="1" s="16"/>
    <row r="801" ht="13.5" customHeight="1" s="16"/>
    <row r="802" ht="13.5" customHeight="1" s="16"/>
    <row r="803" ht="13.5" customHeight="1" s="16"/>
    <row r="804" ht="13.5" customHeight="1" s="16"/>
    <row r="805" ht="13.5" customHeight="1" s="16"/>
    <row r="806" ht="13.5" customHeight="1" s="16"/>
    <row r="807" ht="13.5" customHeight="1" s="16"/>
    <row r="808" ht="13.5" customHeight="1" s="16"/>
    <row r="809" ht="13.5" customHeight="1" s="16"/>
    <row r="810" ht="13.5" customHeight="1" s="16"/>
    <row r="811" ht="13.5" customHeight="1" s="16"/>
    <row r="812" ht="13.5" customHeight="1" s="16"/>
    <row r="813" ht="13.5" customHeight="1" s="16"/>
    <row r="814" ht="13.5" customHeight="1" s="16"/>
    <row r="815" ht="13.5" customHeight="1" s="16"/>
    <row r="816" ht="13.5" customHeight="1" s="16"/>
    <row r="817" ht="13.5" customHeight="1" s="16"/>
    <row r="818" ht="13.5" customHeight="1" s="16"/>
    <row r="819" ht="13.5" customHeight="1" s="16"/>
    <row r="820" ht="13.5" customHeight="1" s="16"/>
    <row r="821" ht="13.5" customHeight="1" s="16"/>
    <row r="822" ht="13.5" customHeight="1" s="16"/>
    <row r="823" ht="13.5" customHeight="1" s="16"/>
    <row r="824" ht="13.5" customHeight="1" s="16"/>
    <row r="825" ht="13.5" customHeight="1" s="16"/>
    <row r="826" ht="13.5" customHeight="1" s="16"/>
    <row r="827" ht="13.5" customHeight="1" s="16"/>
    <row r="828" ht="13.5" customHeight="1" s="16"/>
    <row r="829" ht="13.5" customHeight="1" s="16"/>
    <row r="830" ht="13.5" customHeight="1" s="16"/>
    <row r="831" ht="13.5" customHeight="1" s="16"/>
    <row r="832" ht="13.5" customHeight="1" s="16"/>
    <row r="833" ht="13.5" customHeight="1" s="16"/>
    <row r="834" ht="13.5" customHeight="1" s="16"/>
    <row r="835" ht="13.5" customHeight="1" s="16"/>
    <row r="836" ht="13.5" customHeight="1" s="16"/>
    <row r="837" ht="13.5" customHeight="1" s="16"/>
    <row r="838" ht="13.5" customHeight="1" s="16"/>
    <row r="839" ht="13.5" customHeight="1" s="16"/>
    <row r="840" ht="13.5" customHeight="1" s="16"/>
    <row r="841" ht="13.5" customHeight="1" s="16"/>
    <row r="842" ht="13.5" customHeight="1" s="16"/>
    <row r="843" ht="13.5" customHeight="1" s="16"/>
    <row r="844" ht="13.5" customHeight="1" s="16"/>
    <row r="845" ht="13.5" customHeight="1" s="16"/>
    <row r="846" ht="13.5" customHeight="1" s="16"/>
    <row r="847" ht="13.5" customHeight="1" s="16"/>
    <row r="848" ht="13.5" customHeight="1" s="16"/>
    <row r="849" ht="13.5" customHeight="1" s="16"/>
    <row r="850" ht="13.5" customHeight="1" s="16"/>
    <row r="851" ht="13.5" customHeight="1" s="16"/>
    <row r="852" ht="13.5" customHeight="1" s="16"/>
    <row r="853" ht="13.5" customHeight="1" s="16"/>
    <row r="854" ht="13.5" customHeight="1" s="16"/>
    <row r="855" ht="13.5" customHeight="1" s="16"/>
    <row r="856" ht="13.5" customHeight="1" s="16"/>
    <row r="857" ht="13.5" customHeight="1" s="16"/>
    <row r="858" ht="13.5" customHeight="1" s="16"/>
    <row r="859" ht="13.5" customHeight="1" s="16"/>
    <row r="860" ht="13.5" customHeight="1" s="16"/>
    <row r="861" ht="13.5" customHeight="1" s="16"/>
    <row r="862" ht="13.5" customHeight="1" s="16"/>
    <row r="863" ht="13.5" customHeight="1" s="16"/>
    <row r="864" ht="13.5" customHeight="1" s="16"/>
    <row r="865" ht="13.5" customHeight="1" s="16"/>
    <row r="866" ht="13.5" customHeight="1" s="16"/>
    <row r="867" ht="13.5" customHeight="1" s="16"/>
    <row r="868" ht="13.5" customHeight="1" s="16"/>
    <row r="869" ht="13.5" customHeight="1" s="16"/>
    <row r="870" ht="13.5" customHeight="1" s="16"/>
    <row r="871" ht="13.5" customHeight="1" s="16"/>
    <row r="872" ht="13.5" customHeight="1" s="16"/>
    <row r="873" ht="13.5" customHeight="1" s="16"/>
    <row r="874" ht="13.5" customHeight="1" s="16"/>
    <row r="875" ht="13.5" customHeight="1" s="16"/>
    <row r="876" ht="13.5" customHeight="1" s="16"/>
    <row r="877" ht="13.5" customHeight="1" s="16"/>
    <row r="878" ht="13.5" customHeight="1" s="16"/>
    <row r="879" ht="13.5" customHeight="1" s="16"/>
    <row r="880" ht="13.5" customHeight="1" s="16"/>
    <row r="881" ht="13.5" customHeight="1" s="16"/>
    <row r="882" ht="13.5" customHeight="1" s="16"/>
    <row r="883" ht="13.5" customHeight="1" s="16"/>
    <row r="884" ht="13.5" customHeight="1" s="16"/>
    <row r="885" ht="13.5" customHeight="1" s="16"/>
    <row r="886" ht="13.5" customHeight="1" s="16"/>
    <row r="887" ht="13.5" customHeight="1" s="16"/>
    <row r="888" ht="13.5" customHeight="1" s="16"/>
    <row r="889" ht="13.5" customHeight="1" s="16"/>
    <row r="890" ht="13.5" customHeight="1" s="16"/>
    <row r="891" ht="13.5" customHeight="1" s="16"/>
    <row r="892" ht="13.5" customHeight="1" s="16"/>
    <row r="893" ht="13.5" customHeight="1" s="16"/>
    <row r="894" ht="13.5" customHeight="1" s="16"/>
    <row r="895" ht="13.5" customHeight="1" s="16"/>
    <row r="896" ht="13.5" customHeight="1" s="16"/>
    <row r="897" ht="13.5" customHeight="1" s="16"/>
    <row r="898" ht="13.5" customHeight="1" s="16"/>
    <row r="899" ht="13.5" customHeight="1" s="16"/>
    <row r="900" ht="13.5" customHeight="1" s="16"/>
    <row r="901" ht="13.5" customHeight="1" s="16"/>
    <row r="902" ht="13.5" customHeight="1" s="16"/>
    <row r="903" ht="13.5" customHeight="1" s="16"/>
    <row r="904" ht="13.5" customHeight="1" s="16"/>
    <row r="905" ht="13.5" customHeight="1" s="16"/>
    <row r="906" ht="13.5" customHeight="1" s="16"/>
    <row r="907" ht="13.5" customHeight="1" s="16"/>
    <row r="908" ht="13.5" customHeight="1" s="16"/>
    <row r="909" ht="13.5" customHeight="1" s="16"/>
    <row r="910" ht="13.5" customHeight="1" s="16"/>
    <row r="911" ht="13.5" customHeight="1" s="16"/>
    <row r="912" ht="13.5" customHeight="1" s="16"/>
    <row r="913" ht="13.5" customHeight="1" s="16"/>
    <row r="914" ht="13.5" customHeight="1" s="16"/>
    <row r="915" ht="13.5" customHeight="1" s="16"/>
    <row r="916" ht="13.5" customHeight="1" s="16"/>
    <row r="917" ht="13.5" customHeight="1" s="16"/>
    <row r="918" ht="13.5" customHeight="1" s="16"/>
    <row r="919" ht="13.5" customHeight="1" s="16"/>
    <row r="920" ht="13.5" customHeight="1" s="16"/>
    <row r="921" ht="13.5" customHeight="1" s="16"/>
    <row r="922" ht="13.5" customHeight="1" s="16"/>
    <row r="923" ht="13.5" customHeight="1" s="16"/>
    <row r="924" ht="13.5" customHeight="1" s="16"/>
    <row r="925" ht="13.5" customHeight="1" s="16"/>
    <row r="926" ht="13.5" customHeight="1" s="16"/>
    <row r="927" ht="13.5" customHeight="1" s="16"/>
    <row r="928" ht="13.5" customHeight="1" s="16"/>
    <row r="929" ht="13.5" customHeight="1" s="16"/>
    <row r="930" ht="13.5" customHeight="1" s="16"/>
    <row r="931" ht="13.5" customHeight="1" s="16"/>
    <row r="932" ht="13.5" customHeight="1" s="16"/>
    <row r="933" ht="13.5" customHeight="1" s="16"/>
    <row r="934" ht="13.5" customHeight="1" s="16"/>
    <row r="935" ht="13.5" customHeight="1" s="16"/>
    <row r="936" ht="13.5" customHeight="1" s="16"/>
    <row r="937" ht="13.5" customHeight="1" s="16"/>
    <row r="938" ht="13.5" customHeight="1" s="16"/>
    <row r="939" ht="13.5" customHeight="1" s="16"/>
    <row r="940" ht="13.5" customHeight="1" s="16"/>
    <row r="941" ht="13.5" customHeight="1" s="16"/>
    <row r="942" ht="13.5" customHeight="1" s="16"/>
    <row r="943" ht="13.5" customHeight="1" s="16"/>
    <row r="944" ht="13.5" customHeight="1" s="16"/>
    <row r="945" ht="13.5" customHeight="1" s="16"/>
    <row r="946" ht="13.5" customHeight="1" s="16"/>
    <row r="947" ht="13.5" customHeight="1" s="16"/>
    <row r="948" ht="13.5" customHeight="1" s="16"/>
    <row r="949" ht="13.5" customHeight="1" s="16"/>
    <row r="950" ht="13.5" customHeight="1" s="16"/>
    <row r="951" ht="13.5" customHeight="1" s="16"/>
    <row r="952" ht="13.5" customHeight="1" s="16"/>
    <row r="953" ht="13.5" customHeight="1" s="16"/>
    <row r="954" ht="13.5" customHeight="1" s="16"/>
    <row r="955" ht="13.5" customHeight="1" s="16"/>
    <row r="956" ht="13.5" customHeight="1" s="16"/>
    <row r="957" ht="13.5" customHeight="1" s="16"/>
    <row r="958" ht="13.5" customHeight="1" s="16"/>
    <row r="959" ht="13.5" customHeight="1" s="16"/>
    <row r="960" ht="13.5" customHeight="1" s="16"/>
    <row r="961" ht="13.5" customHeight="1" s="16"/>
    <row r="962" ht="13.5" customHeight="1" s="16"/>
    <row r="963" ht="13.5" customHeight="1" s="16"/>
    <row r="964" ht="13.5" customHeight="1" s="16"/>
    <row r="965" ht="13.5" customHeight="1" s="16"/>
    <row r="966" ht="13.5" customHeight="1" s="16"/>
    <row r="967" ht="13.5" customHeight="1" s="16"/>
    <row r="968" ht="13.5" customHeight="1" s="16"/>
    <row r="969" ht="13.5" customHeight="1" s="16"/>
    <row r="970" ht="13.5" customHeight="1" s="16"/>
    <row r="971" ht="13.5" customHeight="1" s="16"/>
    <row r="972" ht="13.5" customHeight="1" s="16"/>
    <row r="973" ht="13.5" customHeight="1" s="16"/>
    <row r="974" ht="13.5" customHeight="1" s="16"/>
    <row r="975" ht="13.5" customHeight="1" s="16"/>
    <row r="976" ht="13.5" customHeight="1" s="16"/>
    <row r="977" ht="13.5" customHeight="1" s="16"/>
    <row r="978" ht="13.5" customHeight="1" s="16"/>
    <row r="979" ht="13.5" customHeight="1" s="16"/>
    <row r="980" ht="13.5" customHeight="1" s="16"/>
    <row r="981" ht="13.5" customHeight="1" s="16"/>
    <row r="982" ht="13.5" customHeight="1" s="16"/>
    <row r="983" ht="13.5" customHeight="1" s="16"/>
    <row r="984" ht="13.5" customHeight="1" s="16"/>
    <row r="985" ht="13.5" customHeight="1" s="16"/>
    <row r="986" ht="13.5" customHeight="1" s="16"/>
    <row r="987" ht="13.5" customHeight="1" s="16"/>
    <row r="988" ht="13.5" customHeight="1" s="16"/>
    <row r="989" ht="13.5" customHeight="1" s="16"/>
    <row r="990" ht="13.5" customHeight="1" s="16"/>
    <row r="991" ht="13.5" customHeight="1" s="16"/>
    <row r="992" ht="13.5" customHeight="1" s="16"/>
    <row r="993" ht="13.5" customHeight="1" s="16"/>
    <row r="994" ht="13.5" customHeight="1" s="16"/>
    <row r="995" ht="13.5" customHeight="1" s="16"/>
    <row r="996" ht="13.5" customHeight="1" s="16"/>
    <row r="997" ht="13.5" customHeight="1" s="16"/>
    <row r="998" ht="13.5" customHeight="1" s="16"/>
    <row r="999" ht="13.5" customHeight="1" s="16"/>
    <row r="1000" ht="13.5" customHeight="1" s="16"/>
  </sheetData>
  <autoFilter ref="A4:L60"/>
  <mergeCells count="2">
    <mergeCell ref="A2:L2"/>
    <mergeCell ref="A1:L1"/>
  </mergeCells>
  <conditionalFormatting sqref="K5:K60">
    <cfRule type="cellIs" rank="0" priority="2" equalAverage="0" operator="equal" aboveAverage="0" dxfId="7" text="" percent="0" bottom="0">
      <formula>"Done"</formula>
    </cfRule>
    <cfRule type="cellIs" rank="0" priority="3" equalAverage="0" operator="equal" aboveAverage="0" dxfId="8" text="" percent="0" bottom="0">
      <formula>"Review"</formula>
    </cfRule>
    <cfRule type="cellIs" rank="0" priority="4" equalAverage="0" operator="equal" aboveAverage="0" dxfId="9" text="" percent="0" bottom="0">
      <formula>"In Progress"</formula>
    </cfRule>
    <cfRule type="cellIs" rank="0" priority="5" equalAverage="0" operator="equal" aboveAverage="0" dxfId="10" text="" percent="0" bottom="0">
      <formula>"To Do"</formula>
    </cfRule>
  </conditionalFormatting>
  <dataValidations count="1">
    <dataValidation sqref="K5:K60" showDropDown="0" showInputMessage="0" showErrorMessage="0" allowBlank="1" type="list" errorStyle="stop" operator="between">
      <formula1>"To Do,In Progress,Review,Done"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customHeight="1" zeroHeight="0" outlineLevelRow="0"/>
  <cols>
    <col width="14" customWidth="1" style="15" min="1" max="8"/>
    <col width="8.630000000000001" customWidth="1" style="15" min="9" max="26"/>
  </cols>
  <sheetData>
    <row r="1" ht="16.5" customHeight="1" s="16">
      <c r="A1" s="24" t="inlineStr">
        <is>
          <t>Tiến độ Sprint 1 theo thành viên</t>
        </is>
      </c>
    </row>
    <row r="2" ht="13.5" customHeight="1" s="16"/>
    <row r="3" ht="13.5" customHeight="1" s="16">
      <c r="A3" s="25" t="inlineStr">
        <is>
          <t>Thành viên</t>
        </is>
      </c>
      <c r="B3" s="25" t="inlineStr">
        <is>
          <t>Vai</t>
        </is>
      </c>
      <c r="C3" s="25" t="inlineStr">
        <is>
          <t>Tổng task</t>
        </is>
      </c>
      <c r="D3" s="25" t="inlineStr">
        <is>
          <t>To Do</t>
        </is>
      </c>
      <c r="E3" s="25" t="inlineStr">
        <is>
          <t>In Progress</t>
        </is>
      </c>
      <c r="F3" s="25" t="inlineStr">
        <is>
          <t>Review</t>
        </is>
      </c>
      <c r="G3" s="25" t="inlineStr">
        <is>
          <t>Done</t>
        </is>
      </c>
      <c r="H3" s="25" t="inlineStr">
        <is>
          <t>% Done</t>
        </is>
      </c>
    </row>
    <row r="4" ht="13.5" customHeight="1" s="16">
      <c r="A4" s="26" t="inlineStr">
        <is>
          <t>Nhanh</t>
        </is>
      </c>
      <c r="B4" s="26" t="inlineStr">
        <is>
          <t>BE · Leader</t>
        </is>
      </c>
      <c r="C4" s="26">
        <f>COUNTIF('Task Sprint 1'!$E$5:$E$60,A4)</f>
        <v/>
      </c>
      <c r="D4" s="26">
        <f>COUNTIFS('Task Sprint 1'!$E$5:$E$60,$A4,'Task Sprint 1'!$K$5:$K$60,"To Do")</f>
        <v/>
      </c>
      <c r="E4" s="26">
        <f>COUNTIFS('Task Sprint 1'!$E$5:$E$60,$A4,'Task Sprint 1'!$K$5:$K$60,"In Progress")</f>
        <v/>
      </c>
      <c r="F4" s="26">
        <f>COUNTIFS('Task Sprint 1'!$E$5:$E$60,$A4,'Task Sprint 1'!$K$5:$K$60,"Review")</f>
        <v/>
      </c>
      <c r="G4" s="26">
        <f>COUNTIFS('Task Sprint 1'!$E$5:$E$60,$A4,'Task Sprint 1'!$K$5:$K$60,"Done")</f>
        <v/>
      </c>
      <c r="H4" s="27">
        <f>IF(C4=0,0,G4/C4)</f>
        <v/>
      </c>
    </row>
    <row r="5" ht="13.5" customHeight="1" s="16">
      <c r="A5" s="26" t="inlineStr">
        <is>
          <t>Bảo</t>
        </is>
      </c>
      <c r="B5" s="26" t="inlineStr">
        <is>
          <t>BE</t>
        </is>
      </c>
      <c r="C5" s="26">
        <f>COUNTIF('Task Sprint 1'!$E$5:$E$60,A5)</f>
        <v/>
      </c>
      <c r="D5" s="26">
        <f>COUNTIFS('Task Sprint 1'!$E$5:$E$60,$A5,'Task Sprint 1'!$K$5:$K$60,"To Do")</f>
        <v/>
      </c>
      <c r="E5" s="26">
        <f>COUNTIFS('Task Sprint 1'!$E$5:$E$60,$A5,'Task Sprint 1'!$K$5:$K$60,"In Progress")</f>
        <v/>
      </c>
      <c r="F5" s="26">
        <f>COUNTIFS('Task Sprint 1'!$E$5:$E$60,$A5,'Task Sprint 1'!$K$5:$K$60,"Review")</f>
        <v/>
      </c>
      <c r="G5" s="26">
        <f>COUNTIFS('Task Sprint 1'!$E$5:$E$60,$A5,'Task Sprint 1'!$K$5:$K$60,"Done")</f>
        <v/>
      </c>
      <c r="H5" s="27">
        <f>IF(C5=0,0,G5/C5)</f>
        <v/>
      </c>
    </row>
    <row r="6" ht="13.5" customHeight="1" s="16">
      <c r="A6" s="26" t="inlineStr">
        <is>
          <t>Khôi</t>
        </is>
      </c>
      <c r="B6" s="26" t="inlineStr">
        <is>
          <t>FE</t>
        </is>
      </c>
      <c r="C6" s="26">
        <f>COUNTIF('Task Sprint 1'!$E$5:$E$60,A6)</f>
        <v/>
      </c>
      <c r="D6" s="26">
        <f>COUNTIFS('Task Sprint 1'!$E$5:$E$60,$A6,'Task Sprint 1'!$K$5:$K$60,"To Do")</f>
        <v/>
      </c>
      <c r="E6" s="26">
        <f>COUNTIFS('Task Sprint 1'!$E$5:$E$60,$A6,'Task Sprint 1'!$K$5:$K$60,"In Progress")</f>
        <v/>
      </c>
      <c r="F6" s="26">
        <f>COUNTIFS('Task Sprint 1'!$E$5:$E$60,$A6,'Task Sprint 1'!$K$5:$K$60,"Review")</f>
        <v/>
      </c>
      <c r="G6" s="26">
        <f>COUNTIFS('Task Sprint 1'!$E$5:$E$60,$A6,'Task Sprint 1'!$K$5:$K$60,"Done")</f>
        <v/>
      </c>
      <c r="H6" s="27">
        <f>IF(C6=0,0,G6/C6)</f>
        <v/>
      </c>
    </row>
    <row r="7" ht="13.5" customHeight="1" s="16">
      <c r="A7" s="26" t="inlineStr">
        <is>
          <t>Khải</t>
        </is>
      </c>
      <c r="B7" s="26" t="inlineStr">
        <is>
          <t>FE</t>
        </is>
      </c>
      <c r="C7" s="26">
        <f>COUNTIF('Task Sprint 1'!$E$5:$E$60,A7)</f>
        <v/>
      </c>
      <c r="D7" s="26">
        <f>COUNTIFS('Task Sprint 1'!$E$5:$E$60,$A7,'Task Sprint 1'!$K$5:$K$60,"To Do")</f>
        <v/>
      </c>
      <c r="E7" s="26">
        <f>COUNTIFS('Task Sprint 1'!$E$5:$E$60,$A7,'Task Sprint 1'!$K$5:$K$60,"In Progress")</f>
        <v/>
      </c>
      <c r="F7" s="26">
        <f>COUNTIFS('Task Sprint 1'!$E$5:$E$60,$A7,'Task Sprint 1'!$K$5:$K$60,"Review")</f>
        <v/>
      </c>
      <c r="G7" s="26">
        <f>COUNTIFS('Task Sprint 1'!$E$5:$E$60,$A7,'Task Sprint 1'!$K$5:$K$60,"Done")</f>
        <v/>
      </c>
      <c r="H7" s="27">
        <f>IF(C7=0,0,G7/C7)</f>
        <v/>
      </c>
    </row>
    <row r="8" ht="13.5" customHeight="1" s="16">
      <c r="A8" s="28" t="inlineStr">
        <is>
          <t>Tổng</t>
        </is>
      </c>
      <c r="C8" s="15">
        <f>SUM(C4:C7)</f>
        <v/>
      </c>
      <c r="D8" s="15">
        <f>SUM(D4:D7)</f>
        <v/>
      </c>
      <c r="E8" s="15">
        <f>SUM(E4:E7)</f>
        <v/>
      </c>
      <c r="F8" s="15">
        <f>SUM(F4:F7)</f>
        <v/>
      </c>
      <c r="G8" s="15">
        <f>SUM(G4:G7)</f>
        <v/>
      </c>
      <c r="H8" s="29">
        <f>IF(C8=0,0,G8/C8)</f>
        <v/>
      </c>
    </row>
    <row r="9" ht="13.5" customHeight="1" s="16"/>
    <row r="10" ht="13.5" customHeight="1" s="16">
      <c r="A10" s="28" t="inlineStr">
        <is>
          <t>Demo main flow Sprint 1 (Review 1):</t>
        </is>
      </c>
    </row>
    <row r="11" ht="13.5" customHeight="1" s="16">
      <c r="A11" s="15" t="inlineStr">
        <is>
          <t>1. Đăng ký tài khoản → đăng nhập</t>
        </is>
      </c>
    </row>
    <row r="12" ht="13.5" customHeight="1" s="16">
      <c r="A12" s="15" t="inlineStr">
        <is>
          <t>2. Xem / cập nhật hồ sơ, đổi mật khẩu</t>
        </is>
      </c>
    </row>
    <row r="13" ht="13.5" customHeight="1" s="16">
      <c r="A13" s="15" t="inlineStr">
        <is>
          <t>3. Lễ tân đăng ký hội viên tại quầy → tìm kiếm → xem chi tiết</t>
        </is>
      </c>
    </row>
    <row r="14" ht="13.5" customHeight="1" s="16">
      <c r="A14" s="15" t="inlineStr">
        <is>
          <t>4. Manager tạo gói tập → lễ tân mua gói hộ hội viên tại quầy</t>
        </is>
      </c>
    </row>
    <row r="15" ht="13.5" customHeight="1" s="16">
      <c r="A15" s="15" t="inlineStr">
        <is>
          <t>5. Thu tiền tại quầy → hoá đơn PAID → membership kích hoạt → in / PDF hoá đơn</t>
        </is>
      </c>
    </row>
    <row r="16" ht="13.5" customHeight="1" s="16">
      <c r="A16" s="15" t="inlineStr">
        <is>
          <t>6. Hội viên nhận thông báo, xem gói hiện tại</t>
        </is>
      </c>
    </row>
    <row r="17" ht="13.5" customHeight="1" s="16"/>
    <row r="18" ht="13.5" customHeight="1" s="16"/>
    <row r="19" ht="13.5" customHeight="1" s="16"/>
    <row r="20" ht="13.5" customHeight="1" s="16"/>
    <row r="21" ht="13.5" customHeight="1" s="16"/>
    <row r="22" ht="13.5" customHeight="1" s="16"/>
    <row r="23" ht="13.5" customHeight="1" s="16"/>
    <row r="24" ht="13.5" customHeight="1" s="16"/>
    <row r="25" ht="13.5" customHeight="1" s="16"/>
    <row r="26" ht="13.5" customHeight="1" s="16"/>
    <row r="27" ht="13.5" customHeight="1" s="16"/>
    <row r="28" ht="13.5" customHeight="1" s="16"/>
    <row r="29" ht="13.5" customHeight="1" s="16"/>
    <row r="30" ht="13.5" customHeight="1" s="16"/>
    <row r="31" ht="13.5" customHeight="1" s="16"/>
    <row r="32" ht="13.5" customHeight="1" s="16"/>
    <row r="33" ht="13.5" customHeight="1" s="16"/>
    <row r="34" ht="13.5" customHeight="1" s="16"/>
    <row r="35" ht="13.5" customHeight="1" s="16"/>
    <row r="36" ht="13.5" customHeight="1" s="16"/>
    <row r="37" ht="13.5" customHeight="1" s="16"/>
    <row r="38" ht="13.5" customHeight="1" s="16"/>
    <row r="39" ht="13.5" customHeight="1" s="16"/>
    <row r="40" ht="13.5" customHeight="1" s="16"/>
    <row r="41" ht="13.5" customHeight="1" s="16"/>
    <row r="42" ht="13.5" customHeight="1" s="16"/>
    <row r="43" ht="13.5" customHeight="1" s="16"/>
    <row r="44" ht="13.5" customHeight="1" s="16"/>
    <row r="45" ht="13.5" customHeight="1" s="16"/>
    <row r="46" ht="13.5" customHeight="1" s="16"/>
    <row r="47" ht="13.5" customHeight="1" s="16"/>
    <row r="48" ht="13.5" customHeight="1" s="16"/>
    <row r="49" ht="13.5" customHeight="1" s="16"/>
    <row r="50" ht="13.5" customHeight="1" s="16"/>
    <row r="51" ht="13.5" customHeight="1" s="16"/>
    <row r="52" ht="13.5" customHeight="1" s="16"/>
    <row r="53" ht="13.5" customHeight="1" s="16"/>
    <row r="54" ht="13.5" customHeight="1" s="16"/>
    <row r="55" ht="13.5" customHeight="1" s="16"/>
    <row r="56" ht="13.5" customHeight="1" s="16"/>
    <row r="57" ht="13.5" customHeight="1" s="16"/>
    <row r="58" ht="13.5" customHeight="1" s="16"/>
    <row r="59" ht="13.5" customHeight="1" s="16"/>
    <row r="60" ht="13.5" customHeight="1" s="16"/>
    <row r="61" ht="13.5" customHeight="1" s="16"/>
    <row r="62" ht="13.5" customHeight="1" s="16"/>
    <row r="63" ht="13.5" customHeight="1" s="16"/>
    <row r="64" ht="13.5" customHeight="1" s="16"/>
    <row r="65" ht="13.5" customHeight="1" s="16"/>
    <row r="66" ht="13.5" customHeight="1" s="16"/>
    <row r="67" ht="13.5" customHeight="1" s="16"/>
    <row r="68" ht="13.5" customHeight="1" s="16"/>
    <row r="69" ht="13.5" customHeight="1" s="16"/>
    <row r="70" ht="13.5" customHeight="1" s="16"/>
    <row r="71" ht="13.5" customHeight="1" s="16"/>
    <row r="72" ht="13.5" customHeight="1" s="16"/>
    <row r="73" ht="13.5" customHeight="1" s="16"/>
    <row r="74" ht="13.5" customHeight="1" s="16"/>
    <row r="75" ht="13.5" customHeight="1" s="16"/>
    <row r="76" ht="13.5" customHeight="1" s="16"/>
    <row r="77" ht="13.5" customHeight="1" s="16"/>
    <row r="78" ht="13.5" customHeight="1" s="16"/>
    <row r="79" ht="13.5" customHeight="1" s="16"/>
    <row r="80" ht="13.5" customHeight="1" s="16"/>
    <row r="81" ht="13.5" customHeight="1" s="16"/>
    <row r="82" ht="13.5" customHeight="1" s="16"/>
    <row r="83" ht="13.5" customHeight="1" s="16"/>
    <row r="84" ht="13.5" customHeight="1" s="16"/>
    <row r="85" ht="13.5" customHeight="1" s="16"/>
    <row r="86" ht="13.5" customHeight="1" s="16"/>
    <row r="87" ht="13.5" customHeight="1" s="16"/>
    <row r="88" ht="13.5" customHeight="1" s="16"/>
    <row r="89" ht="13.5" customHeight="1" s="16"/>
    <row r="90" ht="13.5" customHeight="1" s="16"/>
    <row r="91" ht="13.5" customHeight="1" s="16"/>
    <row r="92" ht="13.5" customHeight="1" s="16"/>
    <row r="93" ht="13.5" customHeight="1" s="16"/>
    <row r="94" ht="13.5" customHeight="1" s="16"/>
    <row r="95" ht="13.5" customHeight="1" s="16"/>
    <row r="96" ht="13.5" customHeight="1" s="16"/>
    <row r="97" ht="13.5" customHeight="1" s="16"/>
    <row r="98" ht="13.5" customHeight="1" s="16"/>
    <row r="99" ht="13.5" customHeight="1" s="16"/>
    <row r="100" ht="13.5" customHeight="1" s="16"/>
    <row r="101" ht="13.5" customHeight="1" s="16"/>
    <row r="102" ht="13.5" customHeight="1" s="16"/>
    <row r="103" ht="13.5" customHeight="1" s="16"/>
    <row r="104" ht="13.5" customHeight="1" s="16"/>
    <row r="105" ht="13.5" customHeight="1" s="16"/>
    <row r="106" ht="13.5" customHeight="1" s="16"/>
    <row r="107" ht="13.5" customHeight="1" s="16"/>
    <row r="108" ht="13.5" customHeight="1" s="16"/>
    <row r="109" ht="13.5" customHeight="1" s="16"/>
    <row r="110" ht="13.5" customHeight="1" s="16"/>
    <row r="111" ht="13.5" customHeight="1" s="16"/>
    <row r="112" ht="13.5" customHeight="1" s="16"/>
    <row r="113" ht="13.5" customHeight="1" s="16"/>
    <row r="114" ht="13.5" customHeight="1" s="16"/>
    <row r="115" ht="13.5" customHeight="1" s="16"/>
    <row r="116" ht="13.5" customHeight="1" s="16"/>
    <row r="117" ht="13.5" customHeight="1" s="16"/>
    <row r="118" ht="13.5" customHeight="1" s="16"/>
    <row r="119" ht="13.5" customHeight="1" s="16"/>
    <row r="120" ht="13.5" customHeight="1" s="16"/>
    <row r="121" ht="13.5" customHeight="1" s="16"/>
    <row r="122" ht="13.5" customHeight="1" s="16"/>
    <row r="123" ht="13.5" customHeight="1" s="16"/>
    <row r="124" ht="13.5" customHeight="1" s="16"/>
    <row r="125" ht="13.5" customHeight="1" s="16"/>
    <row r="126" ht="13.5" customHeight="1" s="16"/>
    <row r="127" ht="13.5" customHeight="1" s="16"/>
    <row r="128" ht="13.5" customHeight="1" s="16"/>
    <row r="129" ht="13.5" customHeight="1" s="16"/>
    <row r="130" ht="13.5" customHeight="1" s="16"/>
    <row r="131" ht="13.5" customHeight="1" s="16"/>
    <row r="132" ht="13.5" customHeight="1" s="16"/>
    <row r="133" ht="13.5" customHeight="1" s="16"/>
    <row r="134" ht="13.5" customHeight="1" s="16"/>
    <row r="135" ht="13.5" customHeight="1" s="16"/>
    <row r="136" ht="13.5" customHeight="1" s="16"/>
    <row r="137" ht="13.5" customHeight="1" s="16"/>
    <row r="138" ht="13.5" customHeight="1" s="16"/>
    <row r="139" ht="13.5" customHeight="1" s="16"/>
    <row r="140" ht="13.5" customHeight="1" s="16"/>
    <row r="141" ht="13.5" customHeight="1" s="16"/>
    <row r="142" ht="13.5" customHeight="1" s="16"/>
    <row r="143" ht="13.5" customHeight="1" s="16"/>
    <row r="144" ht="13.5" customHeight="1" s="16"/>
    <row r="145" ht="13.5" customHeight="1" s="16"/>
    <row r="146" ht="13.5" customHeight="1" s="16"/>
    <row r="147" ht="13.5" customHeight="1" s="16"/>
    <row r="148" ht="13.5" customHeight="1" s="16"/>
    <row r="149" ht="13.5" customHeight="1" s="16"/>
    <row r="150" ht="13.5" customHeight="1" s="16"/>
    <row r="151" ht="13.5" customHeight="1" s="16"/>
    <row r="152" ht="13.5" customHeight="1" s="16"/>
    <row r="153" ht="13.5" customHeight="1" s="16"/>
    <row r="154" ht="13.5" customHeight="1" s="16"/>
    <row r="155" ht="13.5" customHeight="1" s="16"/>
    <row r="156" ht="13.5" customHeight="1" s="16"/>
    <row r="157" ht="13.5" customHeight="1" s="16"/>
    <row r="158" ht="13.5" customHeight="1" s="16"/>
    <row r="159" ht="13.5" customHeight="1" s="16"/>
    <row r="160" ht="13.5" customHeight="1" s="16"/>
    <row r="161" ht="13.5" customHeight="1" s="16"/>
    <row r="162" ht="13.5" customHeight="1" s="16"/>
    <row r="163" ht="13.5" customHeight="1" s="16"/>
    <row r="164" ht="13.5" customHeight="1" s="16"/>
    <row r="165" ht="13.5" customHeight="1" s="16"/>
    <row r="166" ht="13.5" customHeight="1" s="16"/>
    <row r="167" ht="13.5" customHeight="1" s="16"/>
    <row r="168" ht="13.5" customHeight="1" s="16"/>
    <row r="169" ht="13.5" customHeight="1" s="16"/>
    <row r="170" ht="13.5" customHeight="1" s="16"/>
    <row r="171" ht="13.5" customHeight="1" s="16"/>
    <row r="172" ht="13.5" customHeight="1" s="16"/>
    <row r="173" ht="13.5" customHeight="1" s="16"/>
    <row r="174" ht="13.5" customHeight="1" s="16"/>
    <row r="175" ht="13.5" customHeight="1" s="16"/>
    <row r="176" ht="13.5" customHeight="1" s="16"/>
    <row r="177" ht="13.5" customHeight="1" s="16"/>
    <row r="178" ht="13.5" customHeight="1" s="16"/>
    <row r="179" ht="13.5" customHeight="1" s="16"/>
    <row r="180" ht="13.5" customHeight="1" s="16"/>
    <row r="181" ht="13.5" customHeight="1" s="16"/>
    <row r="182" ht="13.5" customHeight="1" s="16"/>
    <row r="183" ht="13.5" customHeight="1" s="16"/>
    <row r="184" ht="13.5" customHeight="1" s="16"/>
    <row r="185" ht="13.5" customHeight="1" s="16"/>
    <row r="186" ht="13.5" customHeight="1" s="16"/>
    <row r="187" ht="13.5" customHeight="1" s="16"/>
    <row r="188" ht="13.5" customHeight="1" s="16"/>
    <row r="189" ht="13.5" customHeight="1" s="16"/>
    <row r="190" ht="13.5" customHeight="1" s="16"/>
    <row r="191" ht="13.5" customHeight="1" s="16"/>
    <row r="192" ht="13.5" customHeight="1" s="16"/>
    <row r="193" ht="13.5" customHeight="1" s="16"/>
    <row r="194" ht="13.5" customHeight="1" s="16"/>
    <row r="195" ht="13.5" customHeight="1" s="16"/>
    <row r="196" ht="13.5" customHeight="1" s="16"/>
    <row r="197" ht="13.5" customHeight="1" s="16"/>
    <row r="198" ht="13.5" customHeight="1" s="16"/>
    <row r="199" ht="13.5" customHeight="1" s="16"/>
    <row r="200" ht="13.5" customHeight="1" s="16"/>
    <row r="201" ht="13.5" customHeight="1" s="16"/>
    <row r="202" ht="13.5" customHeight="1" s="16"/>
    <row r="203" ht="13.5" customHeight="1" s="16"/>
    <row r="204" ht="13.5" customHeight="1" s="16"/>
    <row r="205" ht="13.5" customHeight="1" s="16"/>
    <row r="206" ht="13.5" customHeight="1" s="16"/>
    <row r="207" ht="13.5" customHeight="1" s="16"/>
    <row r="208" ht="13.5" customHeight="1" s="16"/>
    <row r="209" ht="13.5" customHeight="1" s="16"/>
    <row r="210" ht="13.5" customHeight="1" s="16"/>
    <row r="211" ht="13.5" customHeight="1" s="16"/>
    <row r="212" ht="13.5" customHeight="1" s="16"/>
    <row r="213" ht="13.5" customHeight="1" s="16"/>
    <row r="214" ht="13.5" customHeight="1" s="16"/>
    <row r="215" ht="13.5" customHeight="1" s="16"/>
    <row r="216" ht="13.5" customHeight="1" s="16"/>
    <row r="217" ht="13.5" customHeight="1" s="16"/>
    <row r="218" ht="13.5" customHeight="1" s="16"/>
    <row r="219" ht="13.5" customHeight="1" s="16"/>
    <row r="220" ht="13.5" customHeight="1" s="16"/>
    <row r="221" ht="13.5" customHeight="1" s="16"/>
    <row r="222" ht="13.5" customHeight="1" s="16"/>
    <row r="223" ht="13.5" customHeight="1" s="16"/>
    <row r="224" ht="13.5" customHeight="1" s="16"/>
    <row r="225" ht="13.5" customHeight="1" s="16"/>
    <row r="226" ht="13.5" customHeight="1" s="16"/>
    <row r="227" ht="13.5" customHeight="1" s="16"/>
    <row r="228" ht="13.5" customHeight="1" s="16"/>
    <row r="229" ht="13.5" customHeight="1" s="16"/>
    <row r="230" ht="13.5" customHeight="1" s="16"/>
    <row r="231" ht="13.5" customHeight="1" s="16"/>
    <row r="232" ht="13.5" customHeight="1" s="16"/>
    <row r="233" ht="13.5" customHeight="1" s="16"/>
    <row r="234" ht="13.5" customHeight="1" s="16"/>
    <row r="235" ht="13.5" customHeight="1" s="16"/>
    <row r="236" ht="13.5" customHeight="1" s="16"/>
    <row r="237" ht="13.5" customHeight="1" s="16"/>
    <row r="238" ht="13.5" customHeight="1" s="16"/>
    <row r="239" ht="13.5" customHeight="1" s="16"/>
    <row r="240" ht="13.5" customHeight="1" s="16"/>
    <row r="241" ht="13.5" customHeight="1" s="16"/>
    <row r="242" ht="13.5" customHeight="1" s="16"/>
    <row r="243" ht="13.5" customHeight="1" s="16"/>
    <row r="244" ht="13.5" customHeight="1" s="16"/>
    <row r="245" ht="13.5" customHeight="1" s="16"/>
    <row r="246" ht="13.5" customHeight="1" s="16"/>
    <row r="247" ht="13.5" customHeight="1" s="16"/>
    <row r="248" ht="13.5" customHeight="1" s="16"/>
    <row r="249" ht="13.5" customHeight="1" s="16"/>
    <row r="250" ht="13.5" customHeight="1" s="16"/>
    <row r="251" ht="13.5" customHeight="1" s="16"/>
    <row r="252" ht="13.5" customHeight="1" s="16"/>
    <row r="253" ht="13.5" customHeight="1" s="16"/>
    <row r="254" ht="13.5" customHeight="1" s="16"/>
    <row r="255" ht="13.5" customHeight="1" s="16"/>
    <row r="256" ht="13.5" customHeight="1" s="16"/>
    <row r="257" ht="13.5" customHeight="1" s="16"/>
    <row r="258" ht="13.5" customHeight="1" s="16"/>
    <row r="259" ht="13.5" customHeight="1" s="16"/>
    <row r="260" ht="13.5" customHeight="1" s="16"/>
    <row r="261" ht="13.5" customHeight="1" s="16"/>
    <row r="262" ht="13.5" customHeight="1" s="16"/>
    <row r="263" ht="13.5" customHeight="1" s="16"/>
    <row r="264" ht="13.5" customHeight="1" s="16"/>
    <row r="265" ht="13.5" customHeight="1" s="16"/>
    <row r="266" ht="13.5" customHeight="1" s="16"/>
    <row r="267" ht="13.5" customHeight="1" s="16"/>
    <row r="268" ht="13.5" customHeight="1" s="16"/>
    <row r="269" ht="13.5" customHeight="1" s="16"/>
    <row r="270" ht="13.5" customHeight="1" s="16"/>
    <row r="271" ht="13.5" customHeight="1" s="16"/>
    <row r="272" ht="13.5" customHeight="1" s="16"/>
    <row r="273" ht="13.5" customHeight="1" s="16"/>
    <row r="274" ht="13.5" customHeight="1" s="16"/>
    <row r="275" ht="13.5" customHeight="1" s="16"/>
    <row r="276" ht="13.5" customHeight="1" s="16"/>
    <row r="277" ht="13.5" customHeight="1" s="16"/>
    <row r="278" ht="13.5" customHeight="1" s="16"/>
    <row r="279" ht="13.5" customHeight="1" s="16"/>
    <row r="280" ht="13.5" customHeight="1" s="16"/>
    <row r="281" ht="13.5" customHeight="1" s="16"/>
    <row r="282" ht="13.5" customHeight="1" s="16"/>
    <row r="283" ht="13.5" customHeight="1" s="16"/>
    <row r="284" ht="13.5" customHeight="1" s="16"/>
    <row r="285" ht="13.5" customHeight="1" s="16"/>
    <row r="286" ht="13.5" customHeight="1" s="16"/>
    <row r="287" ht="13.5" customHeight="1" s="16"/>
    <row r="288" ht="13.5" customHeight="1" s="16"/>
    <row r="289" ht="13.5" customHeight="1" s="16"/>
    <row r="290" ht="13.5" customHeight="1" s="16"/>
    <row r="291" ht="13.5" customHeight="1" s="16"/>
    <row r="292" ht="13.5" customHeight="1" s="16"/>
    <row r="293" ht="13.5" customHeight="1" s="16"/>
    <row r="294" ht="13.5" customHeight="1" s="16"/>
    <row r="295" ht="13.5" customHeight="1" s="16"/>
    <row r="296" ht="13.5" customHeight="1" s="16"/>
    <row r="297" ht="13.5" customHeight="1" s="16"/>
    <row r="298" ht="13.5" customHeight="1" s="16"/>
    <row r="299" ht="13.5" customHeight="1" s="16"/>
    <row r="300" ht="13.5" customHeight="1" s="16"/>
    <row r="301" ht="13.5" customHeight="1" s="16"/>
    <row r="302" ht="13.5" customHeight="1" s="16"/>
    <row r="303" ht="13.5" customHeight="1" s="16"/>
    <row r="304" ht="13.5" customHeight="1" s="16"/>
    <row r="305" ht="13.5" customHeight="1" s="16"/>
    <row r="306" ht="13.5" customHeight="1" s="16"/>
    <row r="307" ht="13.5" customHeight="1" s="16"/>
    <row r="308" ht="13.5" customHeight="1" s="16"/>
    <row r="309" ht="13.5" customHeight="1" s="16"/>
    <row r="310" ht="13.5" customHeight="1" s="16"/>
    <row r="311" ht="13.5" customHeight="1" s="16"/>
    <row r="312" ht="13.5" customHeight="1" s="16"/>
    <row r="313" ht="13.5" customHeight="1" s="16"/>
    <row r="314" ht="13.5" customHeight="1" s="16"/>
    <row r="315" ht="13.5" customHeight="1" s="16"/>
    <row r="316" ht="13.5" customHeight="1" s="16"/>
    <row r="317" ht="13.5" customHeight="1" s="16"/>
    <row r="318" ht="13.5" customHeight="1" s="16"/>
    <row r="319" ht="13.5" customHeight="1" s="16"/>
    <row r="320" ht="13.5" customHeight="1" s="16"/>
    <row r="321" ht="13.5" customHeight="1" s="16"/>
    <row r="322" ht="13.5" customHeight="1" s="16"/>
    <row r="323" ht="13.5" customHeight="1" s="16"/>
    <row r="324" ht="13.5" customHeight="1" s="16"/>
    <row r="325" ht="13.5" customHeight="1" s="16"/>
    <row r="326" ht="13.5" customHeight="1" s="16"/>
    <row r="327" ht="13.5" customHeight="1" s="16"/>
    <row r="328" ht="13.5" customHeight="1" s="16"/>
    <row r="329" ht="13.5" customHeight="1" s="16"/>
    <row r="330" ht="13.5" customHeight="1" s="16"/>
    <row r="331" ht="13.5" customHeight="1" s="16"/>
    <row r="332" ht="13.5" customHeight="1" s="16"/>
    <row r="333" ht="13.5" customHeight="1" s="16"/>
    <row r="334" ht="13.5" customHeight="1" s="16"/>
    <row r="335" ht="13.5" customHeight="1" s="16"/>
    <row r="336" ht="13.5" customHeight="1" s="16"/>
    <row r="337" ht="13.5" customHeight="1" s="16"/>
    <row r="338" ht="13.5" customHeight="1" s="16"/>
    <row r="339" ht="13.5" customHeight="1" s="16"/>
    <row r="340" ht="13.5" customHeight="1" s="16"/>
    <row r="341" ht="13.5" customHeight="1" s="16"/>
    <row r="342" ht="13.5" customHeight="1" s="16"/>
    <row r="343" ht="13.5" customHeight="1" s="16"/>
    <row r="344" ht="13.5" customHeight="1" s="16"/>
    <row r="345" ht="13.5" customHeight="1" s="16"/>
    <row r="346" ht="13.5" customHeight="1" s="16"/>
    <row r="347" ht="13.5" customHeight="1" s="16"/>
    <row r="348" ht="13.5" customHeight="1" s="16"/>
    <row r="349" ht="13.5" customHeight="1" s="16"/>
    <row r="350" ht="13.5" customHeight="1" s="16"/>
    <row r="351" ht="13.5" customHeight="1" s="16"/>
    <row r="352" ht="13.5" customHeight="1" s="16"/>
    <row r="353" ht="13.5" customHeight="1" s="16"/>
    <row r="354" ht="13.5" customHeight="1" s="16"/>
    <row r="355" ht="13.5" customHeight="1" s="16"/>
    <row r="356" ht="13.5" customHeight="1" s="16"/>
    <row r="357" ht="13.5" customHeight="1" s="16"/>
    <row r="358" ht="13.5" customHeight="1" s="16"/>
    <row r="359" ht="13.5" customHeight="1" s="16"/>
    <row r="360" ht="13.5" customHeight="1" s="16"/>
    <row r="361" ht="13.5" customHeight="1" s="16"/>
    <row r="362" ht="13.5" customHeight="1" s="16"/>
    <row r="363" ht="13.5" customHeight="1" s="16"/>
    <row r="364" ht="13.5" customHeight="1" s="16"/>
    <row r="365" ht="13.5" customHeight="1" s="16"/>
    <row r="366" ht="13.5" customHeight="1" s="16"/>
    <row r="367" ht="13.5" customHeight="1" s="16"/>
    <row r="368" ht="13.5" customHeight="1" s="16"/>
    <row r="369" ht="13.5" customHeight="1" s="16"/>
    <row r="370" ht="13.5" customHeight="1" s="16"/>
    <row r="371" ht="13.5" customHeight="1" s="16"/>
    <row r="372" ht="13.5" customHeight="1" s="16"/>
    <row r="373" ht="13.5" customHeight="1" s="16"/>
    <row r="374" ht="13.5" customHeight="1" s="16"/>
    <row r="375" ht="13.5" customHeight="1" s="16"/>
    <row r="376" ht="13.5" customHeight="1" s="16"/>
    <row r="377" ht="13.5" customHeight="1" s="16"/>
    <row r="378" ht="13.5" customHeight="1" s="16"/>
    <row r="379" ht="13.5" customHeight="1" s="16"/>
    <row r="380" ht="13.5" customHeight="1" s="16"/>
    <row r="381" ht="13.5" customHeight="1" s="16"/>
    <row r="382" ht="13.5" customHeight="1" s="16"/>
    <row r="383" ht="13.5" customHeight="1" s="16"/>
    <row r="384" ht="13.5" customHeight="1" s="16"/>
    <row r="385" ht="13.5" customHeight="1" s="16"/>
    <row r="386" ht="13.5" customHeight="1" s="16"/>
    <row r="387" ht="13.5" customHeight="1" s="16"/>
    <row r="388" ht="13.5" customHeight="1" s="16"/>
    <row r="389" ht="13.5" customHeight="1" s="16"/>
    <row r="390" ht="13.5" customHeight="1" s="16"/>
    <row r="391" ht="13.5" customHeight="1" s="16"/>
    <row r="392" ht="13.5" customHeight="1" s="16"/>
    <row r="393" ht="13.5" customHeight="1" s="16"/>
    <row r="394" ht="13.5" customHeight="1" s="16"/>
    <row r="395" ht="13.5" customHeight="1" s="16"/>
    <row r="396" ht="13.5" customHeight="1" s="16"/>
    <row r="397" ht="13.5" customHeight="1" s="16"/>
    <row r="398" ht="13.5" customHeight="1" s="16"/>
    <row r="399" ht="13.5" customHeight="1" s="16"/>
    <row r="400" ht="13.5" customHeight="1" s="16"/>
    <row r="401" ht="13.5" customHeight="1" s="16"/>
    <row r="402" ht="13.5" customHeight="1" s="16"/>
    <row r="403" ht="13.5" customHeight="1" s="16"/>
    <row r="404" ht="13.5" customHeight="1" s="16"/>
    <row r="405" ht="13.5" customHeight="1" s="16"/>
    <row r="406" ht="13.5" customHeight="1" s="16"/>
    <row r="407" ht="13.5" customHeight="1" s="16"/>
    <row r="408" ht="13.5" customHeight="1" s="16"/>
    <row r="409" ht="13.5" customHeight="1" s="16"/>
    <row r="410" ht="13.5" customHeight="1" s="16"/>
    <row r="411" ht="13.5" customHeight="1" s="16"/>
    <row r="412" ht="13.5" customHeight="1" s="16"/>
    <row r="413" ht="13.5" customHeight="1" s="16"/>
    <row r="414" ht="13.5" customHeight="1" s="16"/>
    <row r="415" ht="13.5" customHeight="1" s="16"/>
    <row r="416" ht="13.5" customHeight="1" s="16"/>
    <row r="417" ht="13.5" customHeight="1" s="16"/>
    <row r="418" ht="13.5" customHeight="1" s="16"/>
    <row r="419" ht="13.5" customHeight="1" s="16"/>
    <row r="420" ht="13.5" customHeight="1" s="16"/>
    <row r="421" ht="13.5" customHeight="1" s="16"/>
    <row r="422" ht="13.5" customHeight="1" s="16"/>
    <row r="423" ht="13.5" customHeight="1" s="16"/>
    <row r="424" ht="13.5" customHeight="1" s="16"/>
    <row r="425" ht="13.5" customHeight="1" s="16"/>
    <row r="426" ht="13.5" customHeight="1" s="16"/>
    <row r="427" ht="13.5" customHeight="1" s="16"/>
    <row r="428" ht="13.5" customHeight="1" s="16"/>
    <row r="429" ht="13.5" customHeight="1" s="16"/>
    <row r="430" ht="13.5" customHeight="1" s="16"/>
    <row r="431" ht="13.5" customHeight="1" s="16"/>
    <row r="432" ht="13.5" customHeight="1" s="16"/>
    <row r="433" ht="13.5" customHeight="1" s="16"/>
    <row r="434" ht="13.5" customHeight="1" s="16"/>
    <row r="435" ht="13.5" customHeight="1" s="16"/>
    <row r="436" ht="13.5" customHeight="1" s="16"/>
    <row r="437" ht="13.5" customHeight="1" s="16"/>
    <row r="438" ht="13.5" customHeight="1" s="16"/>
    <row r="439" ht="13.5" customHeight="1" s="16"/>
    <row r="440" ht="13.5" customHeight="1" s="16"/>
    <row r="441" ht="13.5" customHeight="1" s="16"/>
    <row r="442" ht="13.5" customHeight="1" s="16"/>
    <row r="443" ht="13.5" customHeight="1" s="16"/>
    <row r="444" ht="13.5" customHeight="1" s="16"/>
    <row r="445" ht="13.5" customHeight="1" s="16"/>
    <row r="446" ht="13.5" customHeight="1" s="16"/>
    <row r="447" ht="13.5" customHeight="1" s="16"/>
    <row r="448" ht="13.5" customHeight="1" s="16"/>
    <row r="449" ht="13.5" customHeight="1" s="16"/>
    <row r="450" ht="13.5" customHeight="1" s="16"/>
    <row r="451" ht="13.5" customHeight="1" s="16"/>
    <row r="452" ht="13.5" customHeight="1" s="16"/>
    <row r="453" ht="13.5" customHeight="1" s="16"/>
    <row r="454" ht="13.5" customHeight="1" s="16"/>
    <row r="455" ht="13.5" customHeight="1" s="16"/>
    <row r="456" ht="13.5" customHeight="1" s="16"/>
    <row r="457" ht="13.5" customHeight="1" s="16"/>
    <row r="458" ht="13.5" customHeight="1" s="16"/>
    <row r="459" ht="13.5" customHeight="1" s="16"/>
    <row r="460" ht="13.5" customHeight="1" s="16"/>
    <row r="461" ht="13.5" customHeight="1" s="16"/>
    <row r="462" ht="13.5" customHeight="1" s="16"/>
    <row r="463" ht="13.5" customHeight="1" s="16"/>
    <row r="464" ht="13.5" customHeight="1" s="16"/>
    <row r="465" ht="13.5" customHeight="1" s="16"/>
    <row r="466" ht="13.5" customHeight="1" s="16"/>
    <row r="467" ht="13.5" customHeight="1" s="16"/>
    <row r="468" ht="13.5" customHeight="1" s="16"/>
    <row r="469" ht="13.5" customHeight="1" s="16"/>
    <row r="470" ht="13.5" customHeight="1" s="16"/>
    <row r="471" ht="13.5" customHeight="1" s="16"/>
    <row r="472" ht="13.5" customHeight="1" s="16"/>
    <row r="473" ht="13.5" customHeight="1" s="16"/>
    <row r="474" ht="13.5" customHeight="1" s="16"/>
    <row r="475" ht="13.5" customHeight="1" s="16"/>
    <row r="476" ht="13.5" customHeight="1" s="16"/>
    <row r="477" ht="13.5" customHeight="1" s="16"/>
    <row r="478" ht="13.5" customHeight="1" s="16"/>
    <row r="479" ht="13.5" customHeight="1" s="16"/>
    <row r="480" ht="13.5" customHeight="1" s="16"/>
    <row r="481" ht="13.5" customHeight="1" s="16"/>
    <row r="482" ht="13.5" customHeight="1" s="16"/>
    <row r="483" ht="13.5" customHeight="1" s="16"/>
    <row r="484" ht="13.5" customHeight="1" s="16"/>
    <row r="485" ht="13.5" customHeight="1" s="16"/>
    <row r="486" ht="13.5" customHeight="1" s="16"/>
    <row r="487" ht="13.5" customHeight="1" s="16"/>
    <row r="488" ht="13.5" customHeight="1" s="16"/>
    <row r="489" ht="13.5" customHeight="1" s="16"/>
    <row r="490" ht="13.5" customHeight="1" s="16"/>
    <row r="491" ht="13.5" customHeight="1" s="16"/>
    <row r="492" ht="13.5" customHeight="1" s="16"/>
    <row r="493" ht="13.5" customHeight="1" s="16"/>
    <row r="494" ht="13.5" customHeight="1" s="16"/>
    <row r="495" ht="13.5" customHeight="1" s="16"/>
    <row r="496" ht="13.5" customHeight="1" s="16"/>
    <row r="497" ht="13.5" customHeight="1" s="16"/>
    <row r="498" ht="13.5" customHeight="1" s="16"/>
    <row r="499" ht="13.5" customHeight="1" s="16"/>
    <row r="500" ht="13.5" customHeight="1" s="16"/>
    <row r="501" ht="13.5" customHeight="1" s="16"/>
    <row r="502" ht="13.5" customHeight="1" s="16"/>
    <row r="503" ht="13.5" customHeight="1" s="16"/>
    <row r="504" ht="13.5" customHeight="1" s="16"/>
    <row r="505" ht="13.5" customHeight="1" s="16"/>
    <row r="506" ht="13.5" customHeight="1" s="16"/>
    <row r="507" ht="13.5" customHeight="1" s="16"/>
    <row r="508" ht="13.5" customHeight="1" s="16"/>
    <row r="509" ht="13.5" customHeight="1" s="16"/>
    <row r="510" ht="13.5" customHeight="1" s="16"/>
    <row r="511" ht="13.5" customHeight="1" s="16"/>
    <row r="512" ht="13.5" customHeight="1" s="16"/>
    <row r="513" ht="13.5" customHeight="1" s="16"/>
    <row r="514" ht="13.5" customHeight="1" s="16"/>
    <row r="515" ht="13.5" customHeight="1" s="16"/>
    <row r="516" ht="13.5" customHeight="1" s="16"/>
    <row r="517" ht="13.5" customHeight="1" s="16"/>
    <row r="518" ht="13.5" customHeight="1" s="16"/>
    <row r="519" ht="13.5" customHeight="1" s="16"/>
    <row r="520" ht="13.5" customHeight="1" s="16"/>
    <row r="521" ht="13.5" customHeight="1" s="16"/>
    <row r="522" ht="13.5" customHeight="1" s="16"/>
    <row r="523" ht="13.5" customHeight="1" s="16"/>
    <row r="524" ht="13.5" customHeight="1" s="16"/>
    <row r="525" ht="13.5" customHeight="1" s="16"/>
    <row r="526" ht="13.5" customHeight="1" s="16"/>
    <row r="527" ht="13.5" customHeight="1" s="16"/>
    <row r="528" ht="13.5" customHeight="1" s="16"/>
    <row r="529" ht="13.5" customHeight="1" s="16"/>
    <row r="530" ht="13.5" customHeight="1" s="16"/>
    <row r="531" ht="13.5" customHeight="1" s="16"/>
    <row r="532" ht="13.5" customHeight="1" s="16"/>
    <row r="533" ht="13.5" customHeight="1" s="16"/>
    <row r="534" ht="13.5" customHeight="1" s="16"/>
    <row r="535" ht="13.5" customHeight="1" s="16"/>
    <row r="536" ht="13.5" customHeight="1" s="16"/>
    <row r="537" ht="13.5" customHeight="1" s="16"/>
    <row r="538" ht="13.5" customHeight="1" s="16"/>
    <row r="539" ht="13.5" customHeight="1" s="16"/>
    <row r="540" ht="13.5" customHeight="1" s="16"/>
    <row r="541" ht="13.5" customHeight="1" s="16"/>
    <row r="542" ht="13.5" customHeight="1" s="16"/>
    <row r="543" ht="13.5" customHeight="1" s="16"/>
    <row r="544" ht="13.5" customHeight="1" s="16"/>
    <row r="545" ht="13.5" customHeight="1" s="16"/>
    <row r="546" ht="13.5" customHeight="1" s="16"/>
    <row r="547" ht="13.5" customHeight="1" s="16"/>
    <row r="548" ht="13.5" customHeight="1" s="16"/>
    <row r="549" ht="13.5" customHeight="1" s="16"/>
    <row r="550" ht="13.5" customHeight="1" s="16"/>
    <row r="551" ht="13.5" customHeight="1" s="16"/>
    <row r="552" ht="13.5" customHeight="1" s="16"/>
    <row r="553" ht="13.5" customHeight="1" s="16"/>
    <row r="554" ht="13.5" customHeight="1" s="16"/>
    <row r="555" ht="13.5" customHeight="1" s="16"/>
    <row r="556" ht="13.5" customHeight="1" s="16"/>
    <row r="557" ht="13.5" customHeight="1" s="16"/>
    <row r="558" ht="13.5" customHeight="1" s="16"/>
    <row r="559" ht="13.5" customHeight="1" s="16"/>
    <row r="560" ht="13.5" customHeight="1" s="16"/>
    <row r="561" ht="13.5" customHeight="1" s="16"/>
    <row r="562" ht="13.5" customHeight="1" s="16"/>
    <row r="563" ht="13.5" customHeight="1" s="16"/>
    <row r="564" ht="13.5" customHeight="1" s="16"/>
    <row r="565" ht="13.5" customHeight="1" s="16"/>
    <row r="566" ht="13.5" customHeight="1" s="16"/>
    <row r="567" ht="13.5" customHeight="1" s="16"/>
    <row r="568" ht="13.5" customHeight="1" s="16"/>
    <row r="569" ht="13.5" customHeight="1" s="16"/>
    <row r="570" ht="13.5" customHeight="1" s="16"/>
    <row r="571" ht="13.5" customHeight="1" s="16"/>
    <row r="572" ht="13.5" customHeight="1" s="16"/>
    <row r="573" ht="13.5" customHeight="1" s="16"/>
    <row r="574" ht="13.5" customHeight="1" s="16"/>
    <row r="575" ht="13.5" customHeight="1" s="16"/>
    <row r="576" ht="13.5" customHeight="1" s="16"/>
    <row r="577" ht="13.5" customHeight="1" s="16"/>
    <row r="578" ht="13.5" customHeight="1" s="16"/>
    <row r="579" ht="13.5" customHeight="1" s="16"/>
    <row r="580" ht="13.5" customHeight="1" s="16"/>
    <row r="581" ht="13.5" customHeight="1" s="16"/>
    <row r="582" ht="13.5" customHeight="1" s="16"/>
    <row r="583" ht="13.5" customHeight="1" s="16"/>
    <row r="584" ht="13.5" customHeight="1" s="16"/>
    <row r="585" ht="13.5" customHeight="1" s="16"/>
    <row r="586" ht="13.5" customHeight="1" s="16"/>
    <row r="587" ht="13.5" customHeight="1" s="16"/>
    <row r="588" ht="13.5" customHeight="1" s="16"/>
    <row r="589" ht="13.5" customHeight="1" s="16"/>
    <row r="590" ht="13.5" customHeight="1" s="16"/>
    <row r="591" ht="13.5" customHeight="1" s="16"/>
    <row r="592" ht="13.5" customHeight="1" s="16"/>
    <row r="593" ht="13.5" customHeight="1" s="16"/>
    <row r="594" ht="13.5" customHeight="1" s="16"/>
    <row r="595" ht="13.5" customHeight="1" s="16"/>
    <row r="596" ht="13.5" customHeight="1" s="16"/>
    <row r="597" ht="13.5" customHeight="1" s="16"/>
    <row r="598" ht="13.5" customHeight="1" s="16"/>
    <row r="599" ht="13.5" customHeight="1" s="16"/>
    <row r="600" ht="13.5" customHeight="1" s="16"/>
    <row r="601" ht="13.5" customHeight="1" s="16"/>
    <row r="602" ht="13.5" customHeight="1" s="16"/>
    <row r="603" ht="13.5" customHeight="1" s="16"/>
    <row r="604" ht="13.5" customHeight="1" s="16"/>
    <row r="605" ht="13.5" customHeight="1" s="16"/>
    <row r="606" ht="13.5" customHeight="1" s="16"/>
    <row r="607" ht="13.5" customHeight="1" s="16"/>
    <row r="608" ht="13.5" customHeight="1" s="16"/>
    <row r="609" ht="13.5" customHeight="1" s="16"/>
    <row r="610" ht="13.5" customHeight="1" s="16"/>
    <row r="611" ht="13.5" customHeight="1" s="16"/>
    <row r="612" ht="13.5" customHeight="1" s="16"/>
    <row r="613" ht="13.5" customHeight="1" s="16"/>
    <row r="614" ht="13.5" customHeight="1" s="16"/>
    <row r="615" ht="13.5" customHeight="1" s="16"/>
    <row r="616" ht="13.5" customHeight="1" s="16"/>
    <row r="617" ht="13.5" customHeight="1" s="16"/>
    <row r="618" ht="13.5" customHeight="1" s="16"/>
    <row r="619" ht="13.5" customHeight="1" s="16"/>
    <row r="620" ht="13.5" customHeight="1" s="16"/>
    <row r="621" ht="13.5" customHeight="1" s="16"/>
    <row r="622" ht="13.5" customHeight="1" s="16"/>
    <row r="623" ht="13.5" customHeight="1" s="16"/>
    <row r="624" ht="13.5" customHeight="1" s="16"/>
    <row r="625" ht="13.5" customHeight="1" s="16"/>
    <row r="626" ht="13.5" customHeight="1" s="16"/>
    <row r="627" ht="13.5" customHeight="1" s="16"/>
    <row r="628" ht="13.5" customHeight="1" s="16"/>
    <row r="629" ht="13.5" customHeight="1" s="16"/>
    <row r="630" ht="13.5" customHeight="1" s="16"/>
    <row r="631" ht="13.5" customHeight="1" s="16"/>
    <row r="632" ht="13.5" customHeight="1" s="16"/>
    <row r="633" ht="13.5" customHeight="1" s="16"/>
    <row r="634" ht="13.5" customHeight="1" s="16"/>
    <row r="635" ht="13.5" customHeight="1" s="16"/>
    <row r="636" ht="13.5" customHeight="1" s="16"/>
    <row r="637" ht="13.5" customHeight="1" s="16"/>
    <row r="638" ht="13.5" customHeight="1" s="16"/>
    <row r="639" ht="13.5" customHeight="1" s="16"/>
    <row r="640" ht="13.5" customHeight="1" s="16"/>
    <row r="641" ht="13.5" customHeight="1" s="16"/>
    <row r="642" ht="13.5" customHeight="1" s="16"/>
    <row r="643" ht="13.5" customHeight="1" s="16"/>
    <row r="644" ht="13.5" customHeight="1" s="16"/>
    <row r="645" ht="13.5" customHeight="1" s="16"/>
    <row r="646" ht="13.5" customHeight="1" s="16"/>
    <row r="647" ht="13.5" customHeight="1" s="16"/>
    <row r="648" ht="13.5" customHeight="1" s="16"/>
    <row r="649" ht="13.5" customHeight="1" s="16"/>
    <row r="650" ht="13.5" customHeight="1" s="16"/>
    <row r="651" ht="13.5" customHeight="1" s="16"/>
    <row r="652" ht="13.5" customHeight="1" s="16"/>
    <row r="653" ht="13.5" customHeight="1" s="16"/>
    <row r="654" ht="13.5" customHeight="1" s="16"/>
    <row r="655" ht="13.5" customHeight="1" s="16"/>
    <row r="656" ht="13.5" customHeight="1" s="16"/>
    <row r="657" ht="13.5" customHeight="1" s="16"/>
    <row r="658" ht="13.5" customHeight="1" s="16"/>
    <row r="659" ht="13.5" customHeight="1" s="16"/>
    <row r="660" ht="13.5" customHeight="1" s="16"/>
    <row r="661" ht="13.5" customHeight="1" s="16"/>
    <row r="662" ht="13.5" customHeight="1" s="16"/>
    <row r="663" ht="13.5" customHeight="1" s="16"/>
    <row r="664" ht="13.5" customHeight="1" s="16"/>
    <row r="665" ht="13.5" customHeight="1" s="16"/>
    <row r="666" ht="13.5" customHeight="1" s="16"/>
    <row r="667" ht="13.5" customHeight="1" s="16"/>
    <row r="668" ht="13.5" customHeight="1" s="16"/>
    <row r="669" ht="13.5" customHeight="1" s="16"/>
    <row r="670" ht="13.5" customHeight="1" s="16"/>
    <row r="671" ht="13.5" customHeight="1" s="16"/>
    <row r="672" ht="13.5" customHeight="1" s="16"/>
    <row r="673" ht="13.5" customHeight="1" s="16"/>
    <row r="674" ht="13.5" customHeight="1" s="16"/>
    <row r="675" ht="13.5" customHeight="1" s="16"/>
    <row r="676" ht="13.5" customHeight="1" s="16"/>
    <row r="677" ht="13.5" customHeight="1" s="16"/>
    <row r="678" ht="13.5" customHeight="1" s="16"/>
    <row r="679" ht="13.5" customHeight="1" s="16"/>
    <row r="680" ht="13.5" customHeight="1" s="16"/>
    <row r="681" ht="13.5" customHeight="1" s="16"/>
    <row r="682" ht="13.5" customHeight="1" s="16"/>
    <row r="683" ht="13.5" customHeight="1" s="16"/>
    <row r="684" ht="13.5" customHeight="1" s="16"/>
    <row r="685" ht="13.5" customHeight="1" s="16"/>
    <row r="686" ht="13.5" customHeight="1" s="16"/>
    <row r="687" ht="13.5" customHeight="1" s="16"/>
    <row r="688" ht="13.5" customHeight="1" s="16"/>
    <row r="689" ht="13.5" customHeight="1" s="16"/>
    <row r="690" ht="13.5" customHeight="1" s="16"/>
    <row r="691" ht="13.5" customHeight="1" s="16"/>
    <row r="692" ht="13.5" customHeight="1" s="16"/>
    <row r="693" ht="13.5" customHeight="1" s="16"/>
    <row r="694" ht="13.5" customHeight="1" s="16"/>
    <row r="695" ht="13.5" customHeight="1" s="16"/>
    <row r="696" ht="13.5" customHeight="1" s="16"/>
    <row r="697" ht="13.5" customHeight="1" s="16"/>
    <row r="698" ht="13.5" customHeight="1" s="16"/>
    <row r="699" ht="13.5" customHeight="1" s="16"/>
    <row r="700" ht="13.5" customHeight="1" s="16"/>
    <row r="701" ht="13.5" customHeight="1" s="16"/>
    <row r="702" ht="13.5" customHeight="1" s="16"/>
    <row r="703" ht="13.5" customHeight="1" s="16"/>
    <row r="704" ht="13.5" customHeight="1" s="16"/>
    <row r="705" ht="13.5" customHeight="1" s="16"/>
    <row r="706" ht="13.5" customHeight="1" s="16"/>
    <row r="707" ht="13.5" customHeight="1" s="16"/>
    <row r="708" ht="13.5" customHeight="1" s="16"/>
    <row r="709" ht="13.5" customHeight="1" s="16"/>
    <row r="710" ht="13.5" customHeight="1" s="16"/>
    <row r="711" ht="13.5" customHeight="1" s="16"/>
    <row r="712" ht="13.5" customHeight="1" s="16"/>
    <row r="713" ht="13.5" customHeight="1" s="16"/>
    <row r="714" ht="13.5" customHeight="1" s="16"/>
    <row r="715" ht="13.5" customHeight="1" s="16"/>
    <row r="716" ht="13.5" customHeight="1" s="16"/>
    <row r="717" ht="13.5" customHeight="1" s="16"/>
    <row r="718" ht="13.5" customHeight="1" s="16"/>
    <row r="719" ht="13.5" customHeight="1" s="16"/>
    <row r="720" ht="13.5" customHeight="1" s="16"/>
    <row r="721" ht="13.5" customHeight="1" s="16"/>
    <row r="722" ht="13.5" customHeight="1" s="16"/>
    <row r="723" ht="13.5" customHeight="1" s="16"/>
    <row r="724" ht="13.5" customHeight="1" s="16"/>
    <row r="725" ht="13.5" customHeight="1" s="16"/>
    <row r="726" ht="13.5" customHeight="1" s="16"/>
    <row r="727" ht="13.5" customHeight="1" s="16"/>
    <row r="728" ht="13.5" customHeight="1" s="16"/>
    <row r="729" ht="13.5" customHeight="1" s="16"/>
    <row r="730" ht="13.5" customHeight="1" s="16"/>
    <row r="731" ht="13.5" customHeight="1" s="16"/>
    <row r="732" ht="13.5" customHeight="1" s="16"/>
    <row r="733" ht="13.5" customHeight="1" s="16"/>
    <row r="734" ht="13.5" customHeight="1" s="16"/>
    <row r="735" ht="13.5" customHeight="1" s="16"/>
    <row r="736" ht="13.5" customHeight="1" s="16"/>
    <row r="737" ht="13.5" customHeight="1" s="16"/>
    <row r="738" ht="13.5" customHeight="1" s="16"/>
    <row r="739" ht="13.5" customHeight="1" s="16"/>
    <row r="740" ht="13.5" customHeight="1" s="16"/>
    <row r="741" ht="13.5" customHeight="1" s="16"/>
    <row r="742" ht="13.5" customHeight="1" s="16"/>
    <row r="743" ht="13.5" customHeight="1" s="16"/>
    <row r="744" ht="13.5" customHeight="1" s="16"/>
    <row r="745" ht="13.5" customHeight="1" s="16"/>
    <row r="746" ht="13.5" customHeight="1" s="16"/>
    <row r="747" ht="13.5" customHeight="1" s="16"/>
    <row r="748" ht="13.5" customHeight="1" s="16"/>
    <row r="749" ht="13.5" customHeight="1" s="16"/>
    <row r="750" ht="13.5" customHeight="1" s="16"/>
    <row r="751" ht="13.5" customHeight="1" s="16"/>
    <row r="752" ht="13.5" customHeight="1" s="16"/>
    <row r="753" ht="13.5" customHeight="1" s="16"/>
    <row r="754" ht="13.5" customHeight="1" s="16"/>
    <row r="755" ht="13.5" customHeight="1" s="16"/>
    <row r="756" ht="13.5" customHeight="1" s="16"/>
    <row r="757" ht="13.5" customHeight="1" s="16"/>
    <row r="758" ht="13.5" customHeight="1" s="16"/>
    <row r="759" ht="13.5" customHeight="1" s="16"/>
    <row r="760" ht="13.5" customHeight="1" s="16"/>
    <row r="761" ht="13.5" customHeight="1" s="16"/>
    <row r="762" ht="13.5" customHeight="1" s="16"/>
    <row r="763" ht="13.5" customHeight="1" s="16"/>
    <row r="764" ht="13.5" customHeight="1" s="16"/>
    <row r="765" ht="13.5" customHeight="1" s="16"/>
    <row r="766" ht="13.5" customHeight="1" s="16"/>
    <row r="767" ht="13.5" customHeight="1" s="16"/>
    <row r="768" ht="13.5" customHeight="1" s="16"/>
    <row r="769" ht="13.5" customHeight="1" s="16"/>
    <row r="770" ht="13.5" customHeight="1" s="16"/>
    <row r="771" ht="13.5" customHeight="1" s="16"/>
    <row r="772" ht="13.5" customHeight="1" s="16"/>
    <row r="773" ht="13.5" customHeight="1" s="16"/>
    <row r="774" ht="13.5" customHeight="1" s="16"/>
    <row r="775" ht="13.5" customHeight="1" s="16"/>
    <row r="776" ht="13.5" customHeight="1" s="16"/>
    <row r="777" ht="13.5" customHeight="1" s="16"/>
    <row r="778" ht="13.5" customHeight="1" s="16"/>
    <row r="779" ht="13.5" customHeight="1" s="16"/>
    <row r="780" ht="13.5" customHeight="1" s="16"/>
    <row r="781" ht="13.5" customHeight="1" s="16"/>
    <row r="782" ht="13.5" customHeight="1" s="16"/>
    <row r="783" ht="13.5" customHeight="1" s="16"/>
    <row r="784" ht="13.5" customHeight="1" s="16"/>
    <row r="785" ht="13.5" customHeight="1" s="16"/>
    <row r="786" ht="13.5" customHeight="1" s="16"/>
    <row r="787" ht="13.5" customHeight="1" s="16"/>
    <row r="788" ht="13.5" customHeight="1" s="16"/>
    <row r="789" ht="13.5" customHeight="1" s="16"/>
    <row r="790" ht="13.5" customHeight="1" s="16"/>
    <row r="791" ht="13.5" customHeight="1" s="16"/>
    <row r="792" ht="13.5" customHeight="1" s="16"/>
    <row r="793" ht="13.5" customHeight="1" s="16"/>
    <row r="794" ht="13.5" customHeight="1" s="16"/>
    <row r="795" ht="13.5" customHeight="1" s="16"/>
    <row r="796" ht="13.5" customHeight="1" s="16"/>
    <row r="797" ht="13.5" customHeight="1" s="16"/>
    <row r="798" ht="13.5" customHeight="1" s="16"/>
    <row r="799" ht="13.5" customHeight="1" s="16"/>
    <row r="800" ht="13.5" customHeight="1" s="16"/>
    <row r="801" ht="13.5" customHeight="1" s="16"/>
    <row r="802" ht="13.5" customHeight="1" s="16"/>
    <row r="803" ht="13.5" customHeight="1" s="16"/>
    <row r="804" ht="13.5" customHeight="1" s="16"/>
    <row r="805" ht="13.5" customHeight="1" s="16"/>
    <row r="806" ht="13.5" customHeight="1" s="16"/>
    <row r="807" ht="13.5" customHeight="1" s="16"/>
    <row r="808" ht="13.5" customHeight="1" s="16"/>
    <row r="809" ht="13.5" customHeight="1" s="16"/>
    <row r="810" ht="13.5" customHeight="1" s="16"/>
    <row r="811" ht="13.5" customHeight="1" s="16"/>
    <row r="812" ht="13.5" customHeight="1" s="16"/>
    <row r="813" ht="13.5" customHeight="1" s="16"/>
    <row r="814" ht="13.5" customHeight="1" s="16"/>
    <row r="815" ht="13.5" customHeight="1" s="16"/>
    <row r="816" ht="13.5" customHeight="1" s="16"/>
    <row r="817" ht="13.5" customHeight="1" s="16"/>
    <row r="818" ht="13.5" customHeight="1" s="16"/>
    <row r="819" ht="13.5" customHeight="1" s="16"/>
    <row r="820" ht="13.5" customHeight="1" s="16"/>
    <row r="821" ht="13.5" customHeight="1" s="16"/>
    <row r="822" ht="13.5" customHeight="1" s="16"/>
    <row r="823" ht="13.5" customHeight="1" s="16"/>
    <row r="824" ht="13.5" customHeight="1" s="16"/>
    <row r="825" ht="13.5" customHeight="1" s="16"/>
    <row r="826" ht="13.5" customHeight="1" s="16"/>
    <row r="827" ht="13.5" customHeight="1" s="16"/>
    <row r="828" ht="13.5" customHeight="1" s="16"/>
    <row r="829" ht="13.5" customHeight="1" s="16"/>
    <row r="830" ht="13.5" customHeight="1" s="16"/>
    <row r="831" ht="13.5" customHeight="1" s="16"/>
    <row r="832" ht="13.5" customHeight="1" s="16"/>
    <row r="833" ht="13.5" customHeight="1" s="16"/>
    <row r="834" ht="13.5" customHeight="1" s="16"/>
    <row r="835" ht="13.5" customHeight="1" s="16"/>
    <row r="836" ht="13.5" customHeight="1" s="16"/>
    <row r="837" ht="13.5" customHeight="1" s="16"/>
    <row r="838" ht="13.5" customHeight="1" s="16"/>
    <row r="839" ht="13.5" customHeight="1" s="16"/>
    <row r="840" ht="13.5" customHeight="1" s="16"/>
    <row r="841" ht="13.5" customHeight="1" s="16"/>
    <row r="842" ht="13.5" customHeight="1" s="16"/>
    <row r="843" ht="13.5" customHeight="1" s="16"/>
    <row r="844" ht="13.5" customHeight="1" s="16"/>
    <row r="845" ht="13.5" customHeight="1" s="16"/>
    <row r="846" ht="13.5" customHeight="1" s="16"/>
    <row r="847" ht="13.5" customHeight="1" s="16"/>
    <row r="848" ht="13.5" customHeight="1" s="16"/>
    <row r="849" ht="13.5" customHeight="1" s="16"/>
    <row r="850" ht="13.5" customHeight="1" s="16"/>
    <row r="851" ht="13.5" customHeight="1" s="16"/>
    <row r="852" ht="13.5" customHeight="1" s="16"/>
    <row r="853" ht="13.5" customHeight="1" s="16"/>
    <row r="854" ht="13.5" customHeight="1" s="16"/>
    <row r="855" ht="13.5" customHeight="1" s="16"/>
    <row r="856" ht="13.5" customHeight="1" s="16"/>
    <row r="857" ht="13.5" customHeight="1" s="16"/>
    <row r="858" ht="13.5" customHeight="1" s="16"/>
    <row r="859" ht="13.5" customHeight="1" s="16"/>
    <row r="860" ht="13.5" customHeight="1" s="16"/>
    <row r="861" ht="13.5" customHeight="1" s="16"/>
    <row r="862" ht="13.5" customHeight="1" s="16"/>
    <row r="863" ht="13.5" customHeight="1" s="16"/>
    <row r="864" ht="13.5" customHeight="1" s="16"/>
    <row r="865" ht="13.5" customHeight="1" s="16"/>
    <row r="866" ht="13.5" customHeight="1" s="16"/>
    <row r="867" ht="13.5" customHeight="1" s="16"/>
    <row r="868" ht="13.5" customHeight="1" s="16"/>
    <row r="869" ht="13.5" customHeight="1" s="16"/>
    <row r="870" ht="13.5" customHeight="1" s="16"/>
    <row r="871" ht="13.5" customHeight="1" s="16"/>
    <row r="872" ht="13.5" customHeight="1" s="16"/>
    <row r="873" ht="13.5" customHeight="1" s="16"/>
    <row r="874" ht="13.5" customHeight="1" s="16"/>
    <row r="875" ht="13.5" customHeight="1" s="16"/>
    <row r="876" ht="13.5" customHeight="1" s="16"/>
    <row r="877" ht="13.5" customHeight="1" s="16"/>
    <row r="878" ht="13.5" customHeight="1" s="16"/>
    <row r="879" ht="13.5" customHeight="1" s="16"/>
    <row r="880" ht="13.5" customHeight="1" s="16"/>
    <row r="881" ht="13.5" customHeight="1" s="16"/>
    <row r="882" ht="13.5" customHeight="1" s="16"/>
    <row r="883" ht="13.5" customHeight="1" s="16"/>
    <row r="884" ht="13.5" customHeight="1" s="16"/>
    <row r="885" ht="13.5" customHeight="1" s="16"/>
    <row r="886" ht="13.5" customHeight="1" s="16"/>
    <row r="887" ht="13.5" customHeight="1" s="16"/>
    <row r="888" ht="13.5" customHeight="1" s="16"/>
    <row r="889" ht="13.5" customHeight="1" s="16"/>
    <row r="890" ht="13.5" customHeight="1" s="16"/>
    <row r="891" ht="13.5" customHeight="1" s="16"/>
    <row r="892" ht="13.5" customHeight="1" s="16"/>
    <row r="893" ht="13.5" customHeight="1" s="16"/>
    <row r="894" ht="13.5" customHeight="1" s="16"/>
    <row r="895" ht="13.5" customHeight="1" s="16"/>
    <row r="896" ht="13.5" customHeight="1" s="16"/>
    <row r="897" ht="13.5" customHeight="1" s="16"/>
    <row r="898" ht="13.5" customHeight="1" s="16"/>
    <row r="899" ht="13.5" customHeight="1" s="16"/>
    <row r="900" ht="13.5" customHeight="1" s="16"/>
    <row r="901" ht="13.5" customHeight="1" s="16"/>
    <row r="902" ht="13.5" customHeight="1" s="16"/>
    <row r="903" ht="13.5" customHeight="1" s="16"/>
    <row r="904" ht="13.5" customHeight="1" s="16"/>
    <row r="905" ht="13.5" customHeight="1" s="16"/>
    <row r="906" ht="13.5" customHeight="1" s="16"/>
    <row r="907" ht="13.5" customHeight="1" s="16"/>
    <row r="908" ht="13.5" customHeight="1" s="16"/>
    <row r="909" ht="13.5" customHeight="1" s="16"/>
    <row r="910" ht="13.5" customHeight="1" s="16"/>
    <row r="911" ht="13.5" customHeight="1" s="16"/>
    <row r="912" ht="13.5" customHeight="1" s="16"/>
    <row r="913" ht="13.5" customHeight="1" s="16"/>
    <row r="914" ht="13.5" customHeight="1" s="16"/>
    <row r="915" ht="13.5" customHeight="1" s="16"/>
    <row r="916" ht="13.5" customHeight="1" s="16"/>
    <row r="917" ht="13.5" customHeight="1" s="16"/>
    <row r="918" ht="13.5" customHeight="1" s="16"/>
    <row r="919" ht="13.5" customHeight="1" s="16"/>
    <row r="920" ht="13.5" customHeight="1" s="16"/>
    <row r="921" ht="13.5" customHeight="1" s="16"/>
    <row r="922" ht="13.5" customHeight="1" s="16"/>
    <row r="923" ht="13.5" customHeight="1" s="16"/>
    <row r="924" ht="13.5" customHeight="1" s="16"/>
    <row r="925" ht="13.5" customHeight="1" s="16"/>
    <row r="926" ht="13.5" customHeight="1" s="16"/>
    <row r="927" ht="13.5" customHeight="1" s="16"/>
    <row r="928" ht="13.5" customHeight="1" s="16"/>
    <row r="929" ht="13.5" customHeight="1" s="16"/>
    <row r="930" ht="13.5" customHeight="1" s="16"/>
    <row r="931" ht="13.5" customHeight="1" s="16"/>
    <row r="932" ht="13.5" customHeight="1" s="16"/>
    <row r="933" ht="13.5" customHeight="1" s="16"/>
    <row r="934" ht="13.5" customHeight="1" s="16"/>
    <row r="935" ht="13.5" customHeight="1" s="16"/>
    <row r="936" ht="13.5" customHeight="1" s="16"/>
    <row r="937" ht="13.5" customHeight="1" s="16"/>
    <row r="938" ht="13.5" customHeight="1" s="16"/>
    <row r="939" ht="13.5" customHeight="1" s="16"/>
    <row r="940" ht="13.5" customHeight="1" s="16"/>
    <row r="941" ht="13.5" customHeight="1" s="16"/>
    <row r="942" ht="13.5" customHeight="1" s="16"/>
    <row r="943" ht="13.5" customHeight="1" s="16"/>
    <row r="944" ht="13.5" customHeight="1" s="16"/>
    <row r="945" ht="13.5" customHeight="1" s="16"/>
    <row r="946" ht="13.5" customHeight="1" s="16"/>
    <row r="947" ht="13.5" customHeight="1" s="16"/>
    <row r="948" ht="13.5" customHeight="1" s="16"/>
    <row r="949" ht="13.5" customHeight="1" s="16"/>
    <row r="950" ht="13.5" customHeight="1" s="16"/>
    <row r="951" ht="13.5" customHeight="1" s="16"/>
    <row r="952" ht="13.5" customHeight="1" s="16"/>
    <row r="953" ht="13.5" customHeight="1" s="16"/>
    <row r="954" ht="13.5" customHeight="1" s="16"/>
    <row r="955" ht="13.5" customHeight="1" s="16"/>
    <row r="956" ht="13.5" customHeight="1" s="16"/>
    <row r="957" ht="13.5" customHeight="1" s="16"/>
    <row r="958" ht="13.5" customHeight="1" s="16"/>
    <row r="959" ht="13.5" customHeight="1" s="16"/>
    <row r="960" ht="13.5" customHeight="1" s="16"/>
    <row r="961" ht="13.5" customHeight="1" s="16"/>
    <row r="962" ht="13.5" customHeight="1" s="16"/>
    <row r="963" ht="13.5" customHeight="1" s="16"/>
    <row r="964" ht="13.5" customHeight="1" s="16"/>
    <row r="965" ht="13.5" customHeight="1" s="16"/>
    <row r="966" ht="13.5" customHeight="1" s="16"/>
    <row r="967" ht="13.5" customHeight="1" s="16"/>
    <row r="968" ht="13.5" customHeight="1" s="16"/>
    <row r="969" ht="13.5" customHeight="1" s="16"/>
    <row r="970" ht="13.5" customHeight="1" s="16"/>
    <row r="971" ht="13.5" customHeight="1" s="16"/>
    <row r="972" ht="13.5" customHeight="1" s="16"/>
    <row r="973" ht="13.5" customHeight="1" s="16"/>
    <row r="974" ht="13.5" customHeight="1" s="16"/>
    <row r="975" ht="13.5" customHeight="1" s="16"/>
    <row r="976" ht="13.5" customHeight="1" s="16"/>
    <row r="977" ht="13.5" customHeight="1" s="16"/>
    <row r="978" ht="13.5" customHeight="1" s="16"/>
    <row r="979" ht="13.5" customHeight="1" s="16"/>
    <row r="980" ht="13.5" customHeight="1" s="16"/>
    <row r="981" ht="13.5" customHeight="1" s="16"/>
    <row r="982" ht="13.5" customHeight="1" s="16"/>
    <row r="983" ht="13.5" customHeight="1" s="16"/>
    <row r="984" ht="13.5" customHeight="1" s="16"/>
    <row r="985" ht="13.5" customHeight="1" s="16"/>
    <row r="986" ht="13.5" customHeight="1" s="16"/>
    <row r="987" ht="13.5" customHeight="1" s="16"/>
    <row r="988" ht="13.5" customHeight="1" s="16"/>
    <row r="989" ht="13.5" customHeight="1" s="16"/>
    <row r="990" ht="13.5" customHeight="1" s="16"/>
    <row r="991" ht="13.5" customHeight="1" s="16"/>
    <row r="992" ht="13.5" customHeight="1" s="16"/>
    <row r="993" ht="13.5" customHeight="1" s="16"/>
    <row r="994" ht="13.5" customHeight="1" s="16"/>
    <row r="995" ht="13.5" customHeight="1" s="16"/>
    <row r="996" ht="13.5" customHeight="1" s="16"/>
    <row r="997" ht="13.5" customHeight="1" s="16"/>
    <row r="998" ht="13.5" customHeight="1" s="16"/>
    <row r="999" ht="13.5" customHeight="1" s="16"/>
    <row r="1000" ht="13.5" customHeight="1" s="16"/>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2026-09-29T03:10:53Z</dcterms:created>
  <dcterms:modified xmlns:dcterms="http://purl.org/dc/terms/" xmlns:xsi="http://www.w3.org/2001/XMLSchema-instance" xsi:type="dcterms:W3CDTF">2026-10-14T13:32:09Z</dcterms:modified>
  <cp:revision>0</cp:revision>
</cp:coreProperties>
</file>