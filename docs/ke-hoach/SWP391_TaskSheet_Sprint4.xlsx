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name="Task Sprint 4" sheetId="1" state="visible" r:id="rId1"/>
    <sheet name="Tổng hợp" sheetId="2" state="visible" r:id="rId2"/>
    <sheet name="Không làm" sheetId="3" state="visible" r:id="rId3"/>
  </sheets>
  <definedNames>
    <definedName name="_xlnm._FilterDatabase" localSheetId="0" hidden="1">'Task Sprint 4'!$A$4:$L$39</definedName>
  </definedNames>
  <calcPr calcId="171027" fullCalcOnLoad="1"/>
</workbook>
</file>

<file path=xl/styles.xml><?xml version="1.0" encoding="utf-8"?>
<styleSheet xmlns="http://schemas.openxmlformats.org/spreadsheetml/2006/main">
  <numFmts count="0"/>
  <fonts count="9">
    <font>
      <name val="Calibri"/>
      <family val="2"/>
      <color theme="1"/>
      <sz val="11"/>
      <scheme val="minor"/>
    </font>
    <font>
      <name val="Arial"/>
      <charset val="1"/>
      <family val="2"/>
      <color theme="1"/>
      <sz val="11"/>
    </font>
    <font>
      <name val="Arial"/>
      <charset val="1"/>
      <b val="1"/>
      <color rgb="FF1F4E78"/>
      <sz val="14"/>
    </font>
    <font>
      <name val="Arial"/>
      <charset val="1"/>
      <i val="1"/>
      <color rgb="FF595959"/>
      <sz val="11"/>
    </font>
    <font>
      <name val="Times New Roman"/>
      <charset val="163"/>
      <family val="1"/>
      <b val="1"/>
      <color rgb="FFFFFFFF"/>
      <sz val="11"/>
    </font>
    <font>
      <name val="Times New Roman"/>
      <charset val="163"/>
      <family val="1"/>
      <color theme="1"/>
      <sz val="11"/>
    </font>
    <font>
      <name val="Arial"/>
      <charset val="1"/>
      <b val="1"/>
      <sz val="13"/>
    </font>
    <font>
      <name val="Arial"/>
      <charset val="1"/>
      <b val="1"/>
      <color rgb="FFFFFFFF"/>
      <sz val="11"/>
    </font>
    <font>
      <name val="Arial"/>
      <charset val="1"/>
      <b val="1"/>
      <sz val="11"/>
    </font>
  </fonts>
  <fills count="5">
    <fill>
      <patternFill/>
    </fill>
    <fill>
      <patternFill patternType="gray125"/>
    </fill>
    <fill>
      <patternFill/>
    </fill>
    <fill>
      <patternFill patternType="solid">
        <fgColor rgb="FF1F4E78"/>
        <bgColor rgb="FF003366"/>
      </patternFill>
    </fill>
    <fill>
      <patternFill patternType="solid">
        <fgColor rgb="FFDDEBF7"/>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2" borderId="0"/>
  </cellStyleXfs>
  <cellXfs count="15">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2" borderId="0" applyAlignment="1" pivotButton="0" quotePrefix="0" xfId="0">
      <alignment vertical="bottom"/>
    </xf>
    <xf numFmtId="0" fontId="3" fillId="2" borderId="0" applyAlignment="1" pivotButton="0" quotePrefix="0" xfId="0">
      <alignment vertical="bottom"/>
    </xf>
    <xf numFmtId="0" fontId="4" fillId="3" borderId="1" applyAlignment="1" pivotButton="0" quotePrefix="0" xfId="0">
      <alignment horizontal="center" vertical="center" wrapText="1"/>
    </xf>
    <xf numFmtId="0" fontId="5" fillId="2" borderId="1" applyAlignment="1" pivotButton="0" quotePrefix="0" xfId="0">
      <alignment vertical="top"/>
    </xf>
    <xf numFmtId="0" fontId="5" fillId="2" borderId="1" applyAlignment="1" pivotButton="0" quotePrefix="0" xfId="0">
      <alignment vertical="top" wrapText="1"/>
    </xf>
    <xf numFmtId="0" fontId="5" fillId="4" borderId="1" applyAlignment="1" pivotButton="0" quotePrefix="0" xfId="0">
      <alignment vertical="top"/>
    </xf>
    <xf numFmtId="0" fontId="6" fillId="2" borderId="0" applyAlignment="1" pivotButton="0" quotePrefix="0" xfId="0">
      <alignment vertical="bottom"/>
    </xf>
    <xf numFmtId="0" fontId="7" fillId="3" borderId="1" applyAlignment="1" pivotButton="0" quotePrefix="0" xfId="0">
      <alignment vertical="bottom"/>
    </xf>
    <xf numFmtId="0" fontId="1" fillId="2" borderId="1" applyAlignment="1" pivotButton="0" quotePrefix="0" xfId="0">
      <alignment vertical="bottom"/>
    </xf>
    <xf numFmtId="9" fontId="1" fillId="2" borderId="1" applyAlignment="1" pivotButton="0" quotePrefix="0" xfId="0">
      <alignment vertical="bottom"/>
    </xf>
    <xf numFmtId="0" fontId="8" fillId="2" borderId="0" applyAlignment="1" pivotButton="0" quotePrefix="0" xfId="0">
      <alignment vertical="bottom"/>
    </xf>
    <xf numFmtId="9" fontId="1" fillId="2" borderId="0" applyAlignment="1" pivotButton="0" quotePrefix="0" xfId="0">
      <alignment vertical="bottom"/>
    </xf>
  </cellXfs>
  <cellStyles count="1">
    <cellStyle name="Normal" xfId="0" builtinId="0"/>
  </cellStyles>
  <dxfs count="4">
    <dxf>
      <fill>
        <patternFill>
          <bgColor rgb="FFC6EFCE"/>
        </patternFill>
      </fill>
    </dxf>
    <dxf>
      <fill>
        <patternFill>
          <bgColor rgb="FFDDEBF7"/>
        </patternFill>
      </fill>
    </dxf>
    <dxf>
      <fill>
        <patternFill>
          <bgColor rgb="FFFFEB9C"/>
        </patternFill>
      </fill>
    </dxf>
    <dxf>
      <fill>
        <patternFill>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L128"/>
  <sheetViews>
    <sheetView view="normal" zoomScale="55" zoomScaleNormal="55" workbookViewId="0">
      <pane xSplit="3" ySplit="4" topLeftCell="D5" activePane="bottomRight" state="frozen"/>
      <selection pane="bottomRight" activeCell="G25" sqref="G25"/>
    </sheetView>
  </sheetViews>
  <sheetFormatPr baseColWidth="8" defaultColWidth="8.6171875" defaultRowHeight="13.5" customHeight="1" outlineLevelRow="0"/>
  <cols>
    <col width="9" customWidth="1" style="1" min="1" max="1"/>
    <col width="11" customWidth="1" style="1" min="2" max="2"/>
    <col width="42" customWidth="1" style="1" min="3" max="3"/>
    <col width="6" customWidth="1" style="1" min="4" max="4"/>
    <col width="11" customWidth="1" style="1" min="5" max="5"/>
    <col width="9" customWidth="1" style="1" min="6" max="6"/>
    <col width="70" customWidth="1" style="1" min="7" max="7"/>
    <col width="20" customWidth="1" style="1" min="8" max="8"/>
    <col width="11" customWidth="1" style="1" min="9" max="10"/>
    <col width="13" customWidth="1" style="1" min="11" max="11"/>
    <col width="30" customWidth="1" style="1" min="12" max="12"/>
  </cols>
  <sheetData>
    <row r="1" ht="17.25" customFormat="1" customHeight="1" s="2">
      <c r="A1" s="3" t="inlineStr">
        <is>
          <t>SWP391 – TASK SHEET SPRINT 4 (03/11 → 16/11) – Tổng kết khoá học, hồ sơ HLV/hội viên, báo cáo doanh thu theo thời gian</t>
        </is>
      </c>
    </row>
    <row r="2" ht="14.25" customFormat="1" customHeight="1" s="2">
      <c r="A2" s="4" t="inlineStr">
        <is>
          <t>Chốt phạm vi 26/10/2026: KHÔNG làm AI và kế hoạch tập luyện · Nhanh: migration + báo cáo doanh thu full-stack · Bảo: BE tổng kết khoá, đánh giá, báo cáo hội viên · Khôi: hồ sơ HLV/hội viên full-stack · Khải: FE tổng kết khoá, đánh giá, E2E · cột "#" trong Ghi chú trỏ về dòng ở SWP391_UCP_Sprint_Role_Split · Cập nhật 29/10: Bảo nhận toàn bộ task của Nhanh, thực hiện trên sprint-4/be-bao.</t>
        </is>
      </c>
    </row>
    <row r="4" ht="13.5" customFormat="1" customHeight="1" s="2">
      <c r="A4" s="5" t="inlineStr">
        <is>
          <t>Task ID</t>
        </is>
      </c>
      <c r="B4" s="5" t="inlineStr">
        <is>
          <t>US</t>
        </is>
      </c>
      <c r="C4" s="5" t="inlineStr">
        <is>
          <t>Function / Screen</t>
        </is>
      </c>
      <c r="D4" s="5" t="inlineStr">
        <is>
          <t>Loại</t>
        </is>
      </c>
      <c r="E4" s="5" t="inlineStr">
        <is>
          <t>Người làm</t>
        </is>
      </c>
      <c r="F4" s="5" t="inlineStr">
        <is>
          <t>Level</t>
        </is>
      </c>
      <c r="G4" s="5" t="inlineStr">
        <is>
          <t>Business Rule</t>
        </is>
      </c>
      <c r="H4" s="5" t="inlineStr">
        <is>
          <t>Nhánh</t>
        </is>
      </c>
      <c r="I4" s="5" t="inlineStr">
        <is>
          <t>Bắt đầu</t>
        </is>
      </c>
      <c r="J4" s="5" t="inlineStr">
        <is>
          <t>Hạn</t>
        </is>
      </c>
      <c r="K4" s="5" t="inlineStr">
        <is>
          <t>Trạng thái</t>
        </is>
      </c>
      <c r="L4" s="5" t="inlineStr">
        <is>
          <t>Ghi chú</t>
        </is>
      </c>
    </row>
    <row r="5" ht="60" customFormat="1" customHeight="1" s="2">
      <c r="A5" s="6" t="inlineStr">
        <is>
          <t>S4-00</t>
        </is>
      </c>
      <c r="B5" s="6" t="inlineStr">
        <is>
          <t>Nền dữ liệu</t>
        </is>
      </c>
      <c r="C5" s="7" t="inlineStr">
        <is>
          <t>BE – Một migration cho Sprint 4 (tạo bằng --create-only, không DROP bảng legacy): bảng coach_profiles, member_profiles, course_summaries, course_summary_items, course_ratings; thêm COMPLETED vào ClassStatus; cấu hình COURSE_SUMMARY_DEADLINE_DAYS, COURSE_PASS_MIN_ATTENDANCE_PERCENT, COURSE_RATING_WINDOW_DAYS, COACH_MEMBER_VIEW_DAYS, COACH_BIO_MAX_LENGTH, REPORT_MAX_DAYS_BY_GROUP; quyền COACH_PROFILE_*, MEMBER_PROFILE_VIEW_ASSIGNED, COURSE_SUMMARY_*, COURSE_RATING_*. Viết hợp đồng API docs/huong-dan/api-sprint4.md.</t>
        </is>
      </c>
      <c r="D5" s="8" t="inlineStr">
        <is>
          <t>BE</t>
        </is>
      </c>
      <c r="E5" s="6" t="inlineStr">
        <is>
          <t>Bảo</t>
        </is>
      </c>
      <c r="F5" s="6" t="inlineStr">
        <is>
          <t>Medium</t>
        </is>
      </c>
      <c r="G5" s="7" t="inlineStr">
        <is>
          <t>Chỉ Nhanh sửa schema.prisma và tạo migration; ai cần thêm cột nhắn Nhanh. Chạy thử trên DB tạm trước, test cũ phải pass.</t>
        </is>
      </c>
      <c r="H5" s="6" t="inlineStr">
        <is>
          <t>sprint-4/be-bao</t>
        </is>
      </c>
      <c r="I5" s="6" t="inlineStr">
        <is>
          <t>03/11/2026</t>
        </is>
      </c>
      <c r="J5" s="6" t="inlineStr">
        <is>
          <t>04/11/2026</t>
        </is>
      </c>
      <c r="K5" s="6" t="inlineStr">
        <is>
          <t>Review</t>
        </is>
      </c>
      <c r="L5" s="7" t="inlineStr">
        <is>
          <t>Làm đầu tiên — mọi người rebase sau khi merge. Bảo, Khôi, Khải đọc và đồng ý contract trước 04/11. · Chuyển từ Nhanh sang Bảo theo phân công 29/10/2026.</t>
        </is>
      </c>
    </row>
    <row r="6" ht="60" customFormat="1" customHeight="1" s="2">
      <c r="A6" s="6" t="inlineStr">
        <is>
          <t>S4-01</t>
        </is>
      </c>
      <c r="B6" s="6" t="inlineStr">
        <is>
          <t>UC-UM-22</t>
        </is>
      </c>
      <c r="C6" s="7" t="inlineStr">
        <is>
          <t>BE – Hồ sơ HLV – HLV tự cập nhật (màn S20 mở rộng): ảnh đại diện, giới thiệu ngắn, số năm kinh nghiệm, chứng chỉ, email/SĐT/Zalo liên hệ công khai và công tắc "hiện thông tin liên hệ cho hội viên". Chuyên môn (bộ môn) vẫn do quản lý khai báo ở UC-UM-21.</t>
        </is>
      </c>
      <c r="D6" s="8" t="inlineStr">
        <is>
          <t>BE</t>
        </is>
      </c>
      <c r="E6" s="6" t="inlineStr">
        <is>
          <t>Khôi</t>
        </is>
      </c>
      <c r="F6" s="6" t="inlineStr">
        <is>
          <t>Medium</t>
        </is>
      </c>
      <c r="G6" s="7" t="inlineStr">
        <is>
          <t>BR-S4-01: email liên hệ công khai tách khỏi email đăng nhập, mặc định bằng email đăng nhập; tắt công tắc thì hội viên không thấy email/SĐT/Zalo. Giới thiệu ≤ COACH_BIO_MAX_LENGTH (mặc định 1000) ký tự; ảnh jpg/png ≤ 2 MB. Mọi thay đổi ghi audit log.</t>
        </is>
      </c>
      <c r="H6" s="6" t="inlineStr">
        <is>
          <t>sprint-4/fe-khoi</t>
        </is>
      </c>
      <c r="I6" s="6" t="inlineStr">
        <is>
          <t>04/11/2026</t>
        </is>
      </c>
      <c r="J6" s="6" t="inlineStr">
        <is>
          <t>07/11/2026</t>
        </is>
      </c>
      <c r="K6" s="6" t="inlineStr">
        <is>
          <t>To Do</t>
        </is>
      </c>
      <c r="L6" s="7" t="inlineStr">
        <is>
          <t>GET/PUT /me/coach-profile, tải ảnh đại diện</t>
        </is>
      </c>
    </row>
    <row r="7" ht="60" customFormat="1" customHeight="1" s="2">
      <c r="A7" s="6" t="inlineStr">
        <is>
          <t>S4-02</t>
        </is>
      </c>
      <c r="B7" s="6" t="inlineStr">
        <is>
          <t>UC-UM-22</t>
        </is>
      </c>
      <c r="C7" s="7" t="inlineStr">
        <is>
          <t>FE – Hồ sơ HLV – HLV tự cập nhật (màn S20 mở rộng): ảnh đại diện, giới thiệu ngắn, số năm kinh nghiệm, chứng chỉ, email/SĐT/Zalo liên hệ công khai và công tắc "hiện thông tin liên hệ cho hội viên". Chuyên môn (bộ môn) vẫn do quản lý khai báo ở UC-UM-21.</t>
        </is>
      </c>
      <c r="D7" s="8" t="inlineStr">
        <is>
          <t>FE</t>
        </is>
      </c>
      <c r="E7" s="6" t="inlineStr">
        <is>
          <t>Khôi</t>
        </is>
      </c>
      <c r="F7" s="6" t="inlineStr">
        <is>
          <t>Medium</t>
        </is>
      </c>
      <c r="G7" s="7" t="inlineStr">
        <is>
          <t>BR-S4-01: email liên hệ công khai tách khỏi email đăng nhập, mặc định bằng email đăng nhập; tắt công tắc thì hội viên không thấy email/SĐT/Zalo. Giới thiệu ≤ COACH_BIO_MAX_LENGTH (mặc định 1000) ký tự; ảnh jpg/png ≤ 2 MB. Mọi thay đổi ghi audit log.</t>
        </is>
      </c>
      <c r="H7" s="6" t="inlineStr">
        <is>
          <t>sprint-4/fe-khoi</t>
        </is>
      </c>
      <c r="I7" s="6" t="inlineStr">
        <is>
          <t>05/11/2026</t>
        </is>
      </c>
      <c r="J7" s="6" t="inlineStr">
        <is>
          <t>08/11/2026</t>
        </is>
      </c>
      <c r="K7" s="6" t="inlineStr">
        <is>
          <t>To Do</t>
        </is>
      </c>
      <c r="L7" s="7" t="inlineStr">
        <is>
          <t>Tab "Hồ sơ HLV" trong trang Hồ sơ (chỉ hiện khi có quyền)</t>
        </is>
      </c>
    </row>
    <row r="8" ht="60" customFormat="1" customHeight="1" s="2">
      <c r="A8" s="6" t="inlineStr">
        <is>
          <t>S4-03</t>
        </is>
      </c>
      <c r="B8" s="6" t="inlineStr">
        <is>
          <t>UC-UM-23</t>
        </is>
      </c>
      <c r="C8" s="7" t="inlineStr">
        <is>
          <t>BE – Danh sách HLV cho hội viên (màn S34 mới): hội viên xem các HLV đang hoạt động dạng thẻ (ảnh, tên, chuyên môn, số lớp đang mở, điểm đánh giá trung bình), lọc theo bộ môn, tìm theo tên.</t>
        </is>
      </c>
      <c r="D8" s="8" t="inlineStr">
        <is>
          <t>BE</t>
        </is>
      </c>
      <c r="E8" s="6" t="inlineStr">
        <is>
          <t>Khôi</t>
        </is>
      </c>
      <c r="F8" s="6" t="inlineStr">
        <is>
          <t>Simple</t>
        </is>
      </c>
      <c r="G8" s="7" t="inlineStr">
        <is>
          <t>BR-S4-02: chỉ hiện tài khoản có quyền dạy lớp, trạng thái ACTIVE và có ít nhất một chuyên môn. Không lộ thông tin nội bộ (role, ngày tạo, trạng thái khoá).</t>
        </is>
      </c>
      <c r="H8" s="6" t="inlineStr">
        <is>
          <t>sprint-4/fe-khoi</t>
        </is>
      </c>
      <c r="I8" s="6" t="inlineStr">
        <is>
          <t>04/11/2026</t>
        </is>
      </c>
      <c r="J8" s="6" t="inlineStr">
        <is>
          <t>07/11/2026</t>
        </is>
      </c>
      <c r="K8" s="6" t="inlineStr">
        <is>
          <t>To Do</t>
        </is>
      </c>
      <c r="L8" s="7" t="inlineStr">
        <is>
          <t>GET /coaches?subjectId=&amp;q=</t>
        </is>
      </c>
    </row>
    <row r="9" ht="60" customFormat="1" customHeight="1" s="2">
      <c r="A9" s="6" t="inlineStr">
        <is>
          <t>S4-04</t>
        </is>
      </c>
      <c r="B9" s="6" t="inlineStr">
        <is>
          <t>UC-UM-23</t>
        </is>
      </c>
      <c r="C9" s="7" t="inlineStr">
        <is>
          <t>BE – Xem hồ sơ HLV (màn S35 mới): giới thiệu, kinh nghiệm, chứng chỉ, chuyên môn, các lớp HLV đang mở (bấm để đăng ký khoá học), điểm đánh giá và nhận xét gần đây, nút liên hệ (mở mail, gọi điện, Zalo). Mở được từ màn 9, S24 (tên HLV trên thẻ/chi tiết lớp) và màn S34.</t>
        </is>
      </c>
      <c r="D9" s="8" t="inlineStr">
        <is>
          <t>BE</t>
        </is>
      </c>
      <c r="E9" s="6" t="inlineStr">
        <is>
          <t>Khôi</t>
        </is>
      </c>
      <c r="F9" s="6" t="inlineStr">
        <is>
          <t>Medium</t>
        </is>
      </c>
      <c r="G9" s="7" t="inlineStr">
        <is>
          <t>BR-S4-01: chỉ hiện liên hệ khi HLV bật công tắc. BR-S4-11: nhận xét đánh giá hiển thị ẩn danh (chỉ tên viết tắt). HLV đã nghỉ (LOCKED) → 404 với hội viên.</t>
        </is>
      </c>
      <c r="H9" s="6" t="inlineStr">
        <is>
          <t>sprint-4/fe-khoi</t>
        </is>
      </c>
      <c r="I9" s="6" t="inlineStr">
        <is>
          <t>05/11/2026</t>
        </is>
      </c>
      <c r="J9" s="6" t="inlineStr">
        <is>
          <t>08/11/2026</t>
        </is>
      </c>
      <c r="K9" s="6" t="inlineStr">
        <is>
          <t>To Do</t>
        </is>
      </c>
      <c r="L9" s="7" t="inlineStr">
        <is>
          <t>GET /coaches/:id (lớp đang mở, điểm TB lấy từ bảng course_ratings của Bảo)</t>
        </is>
      </c>
    </row>
    <row r="10" ht="60" customFormat="1" customHeight="1" s="2">
      <c r="A10" s="6" t="inlineStr">
        <is>
          <t>S4-05</t>
        </is>
      </c>
      <c r="B10" s="6" t="inlineStr">
        <is>
          <t>UC-UM-23</t>
        </is>
      </c>
      <c r="C10" s="7" t="inlineStr">
        <is>
          <t>FE – Danh sách HLV cho hội viên (màn S34 mới): hội viên xem các HLV đang hoạt động dạng thẻ (ảnh, tên, chuyên môn, số lớp đang mở, điểm đánh giá trung bình), lọc theo bộ môn, tìm theo tên.</t>
        </is>
      </c>
      <c r="D10" s="8" t="inlineStr">
        <is>
          <t>FE</t>
        </is>
      </c>
      <c r="E10" s="6" t="inlineStr">
        <is>
          <t>Khôi</t>
        </is>
      </c>
      <c r="F10" s="6" t="inlineStr">
        <is>
          <t>Simple</t>
        </is>
      </c>
      <c r="G10" s="7" t="inlineStr">
        <is>
          <t>BR-S4-02: chỉ hiện tài khoản có quyền dạy lớp, trạng thái ACTIVE và có ít nhất một chuyên môn. Không lộ thông tin nội bộ (role, ngày tạo, trạng thái khoá).</t>
        </is>
      </c>
      <c r="H10" s="6" t="inlineStr">
        <is>
          <t>sprint-4/fe-khoi</t>
        </is>
      </c>
      <c r="I10" s="6" t="inlineStr">
        <is>
          <t>06/11/2026</t>
        </is>
      </c>
      <c r="J10" s="6" t="inlineStr">
        <is>
          <t>09/11/2026</t>
        </is>
      </c>
      <c r="K10" s="6" t="inlineStr">
        <is>
          <t>To Do</t>
        </is>
      </c>
      <c r="L10" s="7" t="inlineStr">
        <is>
          <t>Trang "Huấn luyện viên" (S34), đăng ký ở routeRegistry</t>
        </is>
      </c>
    </row>
    <row r="11" ht="60" customFormat="1" customHeight="1" s="2">
      <c r="A11" s="6" t="inlineStr">
        <is>
          <t>S4-06</t>
        </is>
      </c>
      <c r="B11" s="6" t="inlineStr">
        <is>
          <t>UC-UM-23</t>
        </is>
      </c>
      <c r="C11" s="7" t="inlineStr">
        <is>
          <t>FE – Xem hồ sơ HLV (màn S35 mới): giới thiệu, kinh nghiệm, chứng chỉ, chuyên môn, các lớp HLV đang mở (bấm để đăng ký khoá học), điểm đánh giá và nhận xét gần đây, nút liên hệ (mở mail, gọi điện, Zalo). Mở được từ màn 9, S24 (tên HLV trên thẻ/chi tiết lớp) và màn S34.</t>
        </is>
      </c>
      <c r="D11" s="8" t="inlineStr">
        <is>
          <t>FE</t>
        </is>
      </c>
      <c r="E11" s="6" t="inlineStr">
        <is>
          <t>Khôi</t>
        </is>
      </c>
      <c r="F11" s="6" t="inlineStr">
        <is>
          <t>Medium</t>
        </is>
      </c>
      <c r="G11" s="7" t="inlineStr">
        <is>
          <t>BR-S4-01: chỉ hiện liên hệ khi HLV bật công tắc. BR-S4-11: nhận xét đánh giá hiển thị ẩn danh (chỉ tên viết tắt). HLV đã nghỉ (LOCKED) → 404 với hội viên.</t>
        </is>
      </c>
      <c r="H11" s="6" t="inlineStr">
        <is>
          <t>sprint-4/fe-khoi</t>
        </is>
      </c>
      <c r="I11" s="6" t="inlineStr">
        <is>
          <t>07/11/2026</t>
        </is>
      </c>
      <c r="J11" s="6" t="inlineStr">
        <is>
          <t>10/11/2026</t>
        </is>
      </c>
      <c r="K11" s="6" t="inlineStr">
        <is>
          <t>To Do</t>
        </is>
      </c>
      <c r="L11" s="7" t="inlineStr">
        <is>
          <t>Trang hồ sơ HLV (S35) + link từ thẻ/chi tiết lớp</t>
        </is>
      </c>
    </row>
    <row r="12" ht="60" customFormat="1" customHeight="1" s="2">
      <c r="A12" s="6" t="inlineStr">
        <is>
          <t>S4-07</t>
        </is>
      </c>
      <c r="B12" s="6" t="inlineStr">
        <is>
          <t>UC-UM-24</t>
        </is>
      </c>
      <c r="C12" s="7" t="inlineStr">
        <is>
          <t>BE – Hồ sơ tập luyện của hội viên (màn S20 mở rộng): ngày sinh, giới tính, chiều cao/cân nặng (tuỳ chọn), mục tiêu tập luyện, trình độ (mới bắt đầu / trung bình / nâng cao), ghi chú sức khoẻ – chấn thương, người liên hệ khẩn cấp và công tắc "chia sẻ mục tiêu/sức khoẻ với HLV".</t>
        </is>
      </c>
      <c r="D12" s="8" t="inlineStr">
        <is>
          <t>BE</t>
        </is>
      </c>
      <c r="E12" s="6" t="inlineStr">
        <is>
          <t>Khôi</t>
        </is>
      </c>
      <c r="F12" s="6" t="inlineStr">
        <is>
          <t>Simple</t>
        </is>
      </c>
      <c r="G12" s="7" t="inlineStr">
        <is>
          <t>Đáp ứng yêu cầu đề tài "Coach xem thông tin cơ bản và mục tiêu tập luyện của từng học viên". BR-S4-04: ghi chú sức khoẻ chỉ HLV đang/đã dạy hội viên và quản lý/lễ tân xem được; tắt chia sẻ thì HLV chỉ thấy họ tên, liên hệ, chuyên cần. Lễ tân sửa hộ ở màn S22 có audit log.</t>
        </is>
      </c>
      <c r="H12" s="6" t="inlineStr">
        <is>
          <t>sprint-4/fe-khoi</t>
        </is>
      </c>
      <c r="I12" s="6" t="inlineStr">
        <is>
          <t>05/11/2026</t>
        </is>
      </c>
      <c r="J12" s="6" t="inlineStr">
        <is>
          <t>07/11/2026</t>
        </is>
      </c>
      <c r="K12" s="6" t="inlineStr">
        <is>
          <t>To Do</t>
        </is>
      </c>
      <c r="L12" s="7" t="inlineStr">
        <is>
          <t>GET/PUT /me/member-profile; lễ tân sửa hộ qua /members/:id/profile</t>
        </is>
      </c>
    </row>
    <row r="13" ht="60" customFormat="1" customHeight="1" s="2">
      <c r="A13" s="6" t="inlineStr">
        <is>
          <t>S4-08</t>
        </is>
      </c>
      <c r="B13" s="6" t="inlineStr">
        <is>
          <t>UC-UM-24</t>
        </is>
      </c>
      <c r="C13" s="7" t="inlineStr">
        <is>
          <t>FE – Hồ sơ tập luyện của hội viên (màn S20 mở rộng): ngày sinh, giới tính, chiều cao/cân nặng (tuỳ chọn), mục tiêu tập luyện, trình độ (mới bắt đầu / trung bình / nâng cao), ghi chú sức khoẻ – chấn thương, người liên hệ khẩn cấp và công tắc "chia sẻ mục tiêu/sức khoẻ với HLV".</t>
        </is>
      </c>
      <c r="D13" s="8" t="inlineStr">
        <is>
          <t>FE</t>
        </is>
      </c>
      <c r="E13" s="6" t="inlineStr">
        <is>
          <t>Khôi</t>
        </is>
      </c>
      <c r="F13" s="6" t="inlineStr">
        <is>
          <t>Simple</t>
        </is>
      </c>
      <c r="G13" s="7" t="inlineStr">
        <is>
          <t>Đáp ứng yêu cầu đề tài "Coach xem thông tin cơ bản và mục tiêu tập luyện của từng học viên". BR-S4-04: ghi chú sức khoẻ chỉ HLV đang/đã dạy hội viên và quản lý/lễ tân xem được; tắt chia sẻ thì HLV chỉ thấy họ tên, liên hệ, chuyên cần. Lễ tân sửa hộ ở màn S22 có audit log.</t>
        </is>
      </c>
      <c r="H13" s="6" t="inlineStr">
        <is>
          <t>sprint-4/fe-khoi</t>
        </is>
      </c>
      <c r="I13" s="6" t="inlineStr">
        <is>
          <t>07/11/2026</t>
        </is>
      </c>
      <c r="J13" s="6" t="inlineStr">
        <is>
          <t>09/11/2026</t>
        </is>
      </c>
      <c r="K13" s="6" t="inlineStr">
        <is>
          <t>To Do</t>
        </is>
      </c>
      <c r="L13" s="7" t="inlineStr">
        <is>
          <t>Mục "Hồ sơ tập luyện" trong Hồ sơ + màn S22</t>
        </is>
      </c>
    </row>
    <row r="14" ht="60" customFormat="1" customHeight="1" s="2">
      <c r="A14" s="6" t="inlineStr">
        <is>
          <t>S4-09</t>
        </is>
      </c>
      <c r="B14" s="6" t="inlineStr">
        <is>
          <t>UC-UM-25</t>
        </is>
      </c>
      <c r="C14" s="7" t="inlineStr">
        <is>
          <t>BE – HLV xem hồ sơ học viên (màn S36 mới, mở từ danh sách học viên màn 11 / S26 và màn điểm danh): thông tin cơ bản, liên hệ, mục tiêu, trình độ, sức khoẻ, chuyên cần trong các lớp của HLV đó và các tổng kết khoá đã học với HLV. Thêm màn "Học viên của tôi" liệt kê toàn bộ học viên các lớp HLV phụ trách.</t>
        </is>
      </c>
      <c r="D14" s="8" t="inlineStr">
        <is>
          <t>BE</t>
        </is>
      </c>
      <c r="E14" s="6" t="inlineStr">
        <is>
          <t>Khôi</t>
        </is>
      </c>
      <c r="F14" s="6" t="inlineStr">
        <is>
          <t>Medium</t>
        </is>
      </c>
      <c r="G14" s="7" t="inlineStr">
        <is>
          <t>BR-S4-03: HLV chỉ xem được hội viên đang có đăng ký BOOKED trong lớp mình dạy, hoặc đã học lớp của mình và lớp kết thúc chưa quá COACH_MEMBER_VIEW_DAYS (mặc định 30) ngày; ngoài phạm vi → 403. HLV không thấy hoá đơn, số dư, gói tự tập. Kiểm tra bằng quyền MEMBER_PROFILE_VIEW_ASSIGNED, không so tên role.</t>
        </is>
      </c>
      <c r="H14" s="6" t="inlineStr">
        <is>
          <t>sprint-4/fe-khoi</t>
        </is>
      </c>
      <c r="I14" s="6" t="inlineStr">
        <is>
          <t>07/11/2026</t>
        </is>
      </c>
      <c r="J14" s="6" t="inlineStr">
        <is>
          <t>10/11/2026</t>
        </is>
      </c>
      <c r="K14" s="6" t="inlineStr">
        <is>
          <t>To Do</t>
        </is>
      </c>
      <c r="L14" s="7" t="inlineStr">
        <is>
          <t>GET /coach/members, GET /coach/members/:id — test 403 ngoài phạm vi</t>
        </is>
      </c>
    </row>
    <row r="15" ht="60" customFormat="1" customHeight="1" s="2">
      <c r="A15" s="6" t="inlineStr">
        <is>
          <t>S4-10</t>
        </is>
      </c>
      <c r="B15" s="6" t="inlineStr">
        <is>
          <t>UC-UM-25</t>
        </is>
      </c>
      <c r="C15" s="7" t="inlineStr">
        <is>
          <t>FE – HLV xem hồ sơ học viên (màn S36 mới, mở từ danh sách học viên màn 11 / S26 và màn điểm danh): thông tin cơ bản, liên hệ, mục tiêu, trình độ, sức khoẻ, chuyên cần trong các lớp của HLV đó và các tổng kết khoá đã học với HLV. Thêm màn "Học viên của tôi" liệt kê toàn bộ học viên các lớp HLV phụ trách.</t>
        </is>
      </c>
      <c r="D15" s="8" t="inlineStr">
        <is>
          <t>FE</t>
        </is>
      </c>
      <c r="E15" s="6" t="inlineStr">
        <is>
          <t>Khôi</t>
        </is>
      </c>
      <c r="F15" s="6" t="inlineStr">
        <is>
          <t>Medium</t>
        </is>
      </c>
      <c r="G15" s="7" t="inlineStr">
        <is>
          <t>BR-S4-03: HLV chỉ xem được hội viên đang có đăng ký BOOKED trong lớp mình dạy, hoặc đã học lớp của mình và lớp kết thúc chưa quá COACH_MEMBER_VIEW_DAYS (mặc định 30) ngày; ngoài phạm vi → 403. HLV không thấy hoá đơn, số dư, gói tự tập. Kiểm tra bằng quyền MEMBER_PROFILE_VIEW_ASSIGNED, không so tên role.</t>
        </is>
      </c>
      <c r="H15" s="6" t="inlineStr">
        <is>
          <t>sprint-4/fe-khoi</t>
        </is>
      </c>
      <c r="I15" s="6" t="inlineStr">
        <is>
          <t>09/11/2026</t>
        </is>
      </c>
      <c r="J15" s="6" t="inlineStr">
        <is>
          <t>12/11/2026</t>
        </is>
      </c>
      <c r="K15" s="6" t="inlineStr">
        <is>
          <t>To Do</t>
        </is>
      </c>
      <c r="L15" s="7" t="inlineStr">
        <is>
          <t>Màn "Học viên của tôi" + drawer hồ sơ học viên từ danh sách lớp / điểm danh</t>
        </is>
      </c>
    </row>
    <row r="16" ht="60" customFormat="1" customHeight="1" s="2">
      <c r="A16" s="6" t="inlineStr">
        <is>
          <t>S4-11</t>
        </is>
      </c>
      <c r="B16" s="6" t="inlineStr">
        <is>
          <t>UC-TR-05</t>
        </is>
      </c>
      <c r="C16" s="7" t="inlineStr">
        <is>
          <t>BE – Kết thúc khoá học (job hệ thống): hằng ngày tìm lớp OPEN/CLOSED có buổi cuối cùng đã diễn ra → chuyển lớp sang COMPLETED, tạo bản tổng kết nháp cho từng học viên đang BOOKED, gửi thông báo cho HLV; nhắc HLV trước hạn nộp và báo quản lý khi quá hạn.</t>
        </is>
      </c>
      <c r="D16" s="8" t="inlineStr">
        <is>
          <t>BE</t>
        </is>
      </c>
      <c r="E16" s="6" t="inlineStr">
        <is>
          <t>Bảo</t>
        </is>
      </c>
      <c r="F16" s="6" t="inlineStr">
        <is>
          <t>Medium</t>
        </is>
      </c>
      <c r="G16" s="7" t="inlineStr">
        <is>
          <t>BR-S4-05: lớp chỉ COMPLETED khi mọi buổi không bị huỷ đã kết thúc; lớp bị huỷ (CANCELLED) không có tổng kết. BR-S4-07: hạn nộp = ngày kết thúc + COURSE_SUMMARY_DEADLINE_DAYS (7); nhắc HLV trước 2 ngày, quá hạn báo quản lý. Job idempotent: chạy lại không tạo trùng bản tổng kết.</t>
        </is>
      </c>
      <c r="H16" s="6" t="inlineStr">
        <is>
          <t>sprint-4/be-bao</t>
        </is>
      </c>
      <c r="I16" s="6" t="inlineStr">
        <is>
          <t>04/11/2026</t>
        </is>
      </c>
      <c r="J16" s="6" t="inlineStr">
        <is>
          <t>06/11/2026</t>
        </is>
      </c>
      <c r="K16" s="6" t="inlineStr">
        <is>
          <t>Review</t>
        </is>
      </c>
      <c r="L16" s="7" t="inlineStr">
        <is>
          <t>Job đăng ký cùng chỗ với các job hiện có (freeze-resume, nhắc gia hạn)</t>
        </is>
      </c>
    </row>
    <row r="17" ht="60" customFormat="1" customHeight="1" s="2">
      <c r="A17" s="6" t="inlineStr">
        <is>
          <t>S4-12</t>
        </is>
      </c>
      <c r="B17" s="6" t="inlineStr">
        <is>
          <t>UC-TR-05</t>
        </is>
      </c>
      <c r="C17" s="7" t="inlineStr">
        <is>
          <t>BE – HLV lập tổng kết khoá (màn S37 mới): bảng học viên với số buổi có mặt / vắng / xin nghỉ / chưa điểm danh và tỉ lệ chuyên cần do hệ thống tự tính; HLV chọn kết quả Đạt / Chưa đạt, mức tiến bộ 1–5, nhận xét, gợi ý khoá tiếp theo; lưu nháp được nhiều lần.</t>
        </is>
      </c>
      <c r="D17" s="8" t="inlineStr">
        <is>
          <t>BE</t>
        </is>
      </c>
      <c r="E17" s="6" t="inlineStr">
        <is>
          <t>Bảo</t>
        </is>
      </c>
      <c r="F17" s="6" t="inlineStr">
        <is>
          <t>Complex</t>
        </is>
      </c>
      <c r="G17" s="7" t="inlineStr">
        <is>
          <t>BR-S4-06: chuyên cần = có mặt / (số buổi đã diễn ra − buổi xin nghỉ EXCUSED); buổi trung tâm huỷ không tính. Còn buổi chưa điểm danh thì cảnh báo trước khi công bố. BR-S4-08: hệ thống gợi ý "Đạt" khi chuyên cần ≥ COURSE_PASS_MIN_ATTENDANCE_PERCENT (70%); HLV chọn khác gợi ý thì bắt buộc nhận xét. Chỉ HLV phụ trách lớp được sửa.</t>
        </is>
      </c>
      <c r="H17" s="6" t="inlineStr">
        <is>
          <t>sprint-4/be-bao</t>
        </is>
      </c>
      <c r="I17" s="6" t="inlineStr">
        <is>
          <t>05/11/2026</t>
        </is>
      </c>
      <c r="J17" s="6" t="inlineStr">
        <is>
          <t>09/11/2026</t>
        </is>
      </c>
      <c r="K17" s="6" t="inlineStr">
        <is>
          <t>Review</t>
        </is>
      </c>
      <c r="L17" s="7" t="inlineStr">
        <is>
          <t>GET /classes/:id/summary, PUT /classes/:id/summary/items/:itemId</t>
        </is>
      </c>
    </row>
    <row r="18" ht="60" customFormat="1" customHeight="1" s="2">
      <c r="A18" s="6" t="inlineStr">
        <is>
          <t>S4-13</t>
        </is>
      </c>
      <c r="B18" s="6" t="inlineStr">
        <is>
          <t>UC-TR-05</t>
        </is>
      </c>
      <c r="C18" s="7" t="inlineStr">
        <is>
          <t>FE – HLV lập tổng kết khoá (màn S37 mới): bảng học viên với số buổi có mặt / vắng / xin nghỉ / chưa điểm danh và tỉ lệ chuyên cần do hệ thống tự tính; HLV chọn kết quả Đạt / Chưa đạt, mức tiến bộ 1–5, nhận xét, gợi ý khoá tiếp theo; lưu nháp được nhiều lần.</t>
        </is>
      </c>
      <c r="D18" s="8" t="inlineStr">
        <is>
          <t>FE</t>
        </is>
      </c>
      <c r="E18" s="6" t="inlineStr">
        <is>
          <t>Khải</t>
        </is>
      </c>
      <c r="F18" s="6" t="inlineStr">
        <is>
          <t>Complex</t>
        </is>
      </c>
      <c r="G18" s="7" t="inlineStr">
        <is>
          <t>BR-S4-06: chuyên cần = có mặt / (số buổi đã diễn ra − buổi xin nghỉ EXCUSED); buổi trung tâm huỷ không tính. Còn buổi chưa điểm danh thì cảnh báo trước khi công bố. BR-S4-08: hệ thống gợi ý "Đạt" khi chuyên cần ≥ COURSE_PASS_MIN_ATTENDANCE_PERCENT (70%); HLV chọn khác gợi ý thì bắt buộc nhận xét. Chỉ HLV phụ trách lớp được sửa.</t>
        </is>
      </c>
      <c r="H18" s="6" t="inlineStr">
        <is>
          <t>sprint-4/fe-khai</t>
        </is>
      </c>
      <c r="I18" s="6" t="inlineStr">
        <is>
          <t>05/11/2026</t>
        </is>
      </c>
      <c r="J18" s="6" t="inlineStr">
        <is>
          <t>10/11/2026</t>
        </is>
      </c>
      <c r="K18" s="6" t="inlineStr">
        <is>
          <t>To Do</t>
        </is>
      </c>
      <c r="L18" s="7" t="inlineStr">
        <is>
          <t>Màn S37, làm theo contract trước, giả lập dữ liệu nếu BE chưa xong</t>
        </is>
      </c>
    </row>
    <row r="19" ht="60" customFormat="1" customHeight="1" s="2">
      <c r="A19" s="6" t="inlineStr">
        <is>
          <t>S4-14</t>
        </is>
      </c>
      <c r="B19" s="6" t="inlineStr">
        <is>
          <t>UC-TR-05</t>
        </is>
      </c>
      <c r="C19" s="7" t="inlineStr">
        <is>
          <t>BE – Công bố / mở lại tổng kết: HLV bấm Công bố → khoá bản tổng kết, gửi thông báo in-app + email cho từng học viên. Sau khi công bố chỉ quản lý được mở lại (nhập lý do), HLV sửa và công bố lại thì hội viên nhận thông báo cập nhật.</t>
        </is>
      </c>
      <c r="D19" s="8" t="inlineStr">
        <is>
          <t>BE</t>
        </is>
      </c>
      <c r="E19" s="6" t="inlineStr">
        <is>
          <t>Bảo</t>
        </is>
      </c>
      <c r="F19" s="6" t="inlineStr">
        <is>
          <t>Medium</t>
        </is>
      </c>
      <c r="G19" s="7" t="inlineStr">
        <is>
          <t>BR-S4-09: chỉ công bố khi mọi học viên đã có kết quả. Công bố/mở lại ghi audit log (người, lúc, lý do). BR-S4-10: chỉ học viên còn BOOKED lúc lớp kết thúc có tổng kết; học viên đã huỷ/đổi lớp không có (học viên đổi sang lớp khác được tổng kết ở lớp mới).</t>
        </is>
      </c>
      <c r="H19" s="6" t="inlineStr">
        <is>
          <t>sprint-4/be-bao</t>
        </is>
      </c>
      <c r="I19" s="6" t="inlineStr">
        <is>
          <t>08/11/2026</t>
        </is>
      </c>
      <c r="J19" s="6" t="inlineStr">
        <is>
          <t>10/11/2026</t>
        </is>
      </c>
      <c r="K19" s="6" t="inlineStr">
        <is>
          <t>Review</t>
        </is>
      </c>
      <c r="L19" s="7" t="inlineStr">
        <is>
          <t>POST /classes/:id/summary/publish, POST /classes/:id/summary/reopen</t>
        </is>
      </c>
    </row>
    <row r="20" ht="60" customFormat="1" customHeight="1" s="2">
      <c r="A20" s="6" t="inlineStr">
        <is>
          <t>S4-15</t>
        </is>
      </c>
      <c r="B20" s="6" t="inlineStr">
        <is>
          <t>UC-TR-05</t>
        </is>
      </c>
      <c r="C20" s="7" t="inlineStr">
        <is>
          <t>FE – Công bố / mở lại tổng kết: HLV bấm Công bố → khoá bản tổng kết, gửi thông báo in-app + email cho từng học viên. Sau khi công bố chỉ quản lý được mở lại (nhập lý do), HLV sửa và công bố lại thì hội viên nhận thông báo cập nhật.</t>
        </is>
      </c>
      <c r="D20" s="8" t="inlineStr">
        <is>
          <t>FE</t>
        </is>
      </c>
      <c r="E20" s="6" t="inlineStr">
        <is>
          <t>Khải</t>
        </is>
      </c>
      <c r="F20" s="6" t="inlineStr">
        <is>
          <t>Medium</t>
        </is>
      </c>
      <c r="G20" s="7" t="inlineStr">
        <is>
          <t>BR-S4-09: chỉ công bố khi mọi học viên đã có kết quả. Công bố/mở lại ghi audit log (người, lúc, lý do). BR-S4-10: chỉ học viên còn BOOKED lúc lớp kết thúc có tổng kết; học viên đã huỷ/đổi lớp không có (học viên đổi sang lớp khác được tổng kết ở lớp mới).</t>
        </is>
      </c>
      <c r="H20" s="6" t="inlineStr">
        <is>
          <t>sprint-4/fe-khai</t>
        </is>
      </c>
      <c r="I20" s="6" t="inlineStr">
        <is>
          <t>09/11/2026</t>
        </is>
      </c>
      <c r="J20" s="6" t="inlineStr">
        <is>
          <t>11/11/2026</t>
        </is>
      </c>
      <c r="K20" s="6" t="inlineStr">
        <is>
          <t>To Do</t>
        </is>
      </c>
      <c r="L20" s="7" t="inlineStr">
        <is>
          <t>Nút Công bố + hộp xác nhận cảnh báo buổi chưa điểm danh; nút Mở lại cho quản lý</t>
        </is>
      </c>
    </row>
    <row r="21" ht="60" customFormat="1" customHeight="1" s="2">
      <c r="A21" s="6" t="inlineStr">
        <is>
          <t>S4-16</t>
        </is>
      </c>
      <c r="B21" s="6" t="inlineStr">
        <is>
          <t>UC-TR-06</t>
        </is>
      </c>
      <c r="C21" s="7" t="inlineStr">
        <is>
          <t>BE – Hội viên xem kết quả khoá học (màn S38 mới, trong Hồ sơ → "Khoá học đã hoàn thành"): danh sách khoá đã kết thúc, chuyên cần, kết quả, mức tiến bộ, nhận xét của HLV, gợi ý khoá tiếp; tải "Phiếu tổng kết khoá học" PDF.</t>
        </is>
      </c>
      <c r="D21" s="8" t="inlineStr">
        <is>
          <t>BE</t>
        </is>
      </c>
      <c r="E21" s="6" t="inlineStr">
        <is>
          <t>Bảo</t>
        </is>
      </c>
      <c r="F21" s="6" t="inlineStr">
        <is>
          <t>Medium</t>
        </is>
      </c>
      <c r="G21" s="7" t="inlineStr">
        <is>
          <t>Chỉ thấy tổng kết đã công bố của chính mình. PDF dùng lại khung mẫu hoá đơn PDF (UC-PAY-07): logo, thông tin trung tâm, khoá, HLV, chuyên cần, kết quả, nhận xét, mã tra cứu.</t>
        </is>
      </c>
      <c r="H21" s="6" t="inlineStr">
        <is>
          <t>sprint-4/be-bao</t>
        </is>
      </c>
      <c r="I21" s="6" t="inlineStr">
        <is>
          <t>09/11/2026</t>
        </is>
      </c>
      <c r="J21" s="6" t="inlineStr">
        <is>
          <t>11/11/2026</t>
        </is>
      </c>
      <c r="K21" s="6" t="inlineStr">
        <is>
          <t>Review</t>
        </is>
      </c>
      <c r="L21" s="7" t="inlineStr">
        <is>
          <t>GET /me/course-results, GET /me/course-results/:id/pdf</t>
        </is>
      </c>
    </row>
    <row r="22" ht="60" customFormat="1" customHeight="1" s="2">
      <c r="A22" s="6" t="inlineStr">
        <is>
          <t>S4-17</t>
        </is>
      </c>
      <c r="B22" s="6" t="inlineStr">
        <is>
          <t>UC-TR-06</t>
        </is>
      </c>
      <c r="C22" s="7" t="inlineStr">
        <is>
          <t>FE – Hội viên xem kết quả khoá học (màn S38 mới, trong Hồ sơ → "Khoá học đã hoàn thành"): danh sách khoá đã kết thúc, chuyên cần, kết quả, mức tiến bộ, nhận xét của HLV, gợi ý khoá tiếp; tải "Phiếu tổng kết khoá học" PDF.</t>
        </is>
      </c>
      <c r="D22" s="8" t="inlineStr">
        <is>
          <t>FE</t>
        </is>
      </c>
      <c r="E22" s="6" t="inlineStr">
        <is>
          <t>Khải</t>
        </is>
      </c>
      <c r="F22" s="6" t="inlineStr">
        <is>
          <t>Medium</t>
        </is>
      </c>
      <c r="G22" s="7" t="inlineStr">
        <is>
          <t>Chỉ thấy tổng kết đã công bố của chính mình. PDF dùng lại khung mẫu hoá đơn PDF (UC-PAY-07): logo, thông tin trung tâm, khoá, HLV, chuyên cần, kết quả, nhận xét, mã tra cứu.</t>
        </is>
      </c>
      <c r="H22" s="6" t="inlineStr">
        <is>
          <t>sprint-4/fe-khai</t>
        </is>
      </c>
      <c r="I22" s="6" t="inlineStr">
        <is>
          <t>10/11/2026</t>
        </is>
      </c>
      <c r="J22" s="6" t="inlineStr">
        <is>
          <t>12/11/2026</t>
        </is>
      </c>
      <c r="K22" s="6" t="inlineStr">
        <is>
          <t>To Do</t>
        </is>
      </c>
      <c r="L22" s="7" t="inlineStr">
        <is>
          <t>Mục "Khoá học đã hoàn thành" trong Hồ sơ (S38)</t>
        </is>
      </c>
    </row>
    <row r="23" ht="60" customFormat="1" customHeight="1" s="2">
      <c r="A23" s="6" t="inlineStr">
        <is>
          <t>S4-18</t>
        </is>
      </c>
      <c r="B23" s="6" t="inlineStr">
        <is>
          <t>UC-TR-07</t>
        </is>
      </c>
      <c r="C23" s="7" t="inlineStr">
        <is>
          <t>BE – Hội viên đánh giá khoá học và HLV: sau khi khoá kết thúc, hội viên chấm 1–5 sao cho khoá và cho HLV kèm nhận xét; sửa được trong thời hạn. Điểm trung bình hiện ở hồ sơ HLV (UC-UM-23) và báo cáo tổng kết khoá (UC-RPT-03).</t>
        </is>
      </c>
      <c r="D23" s="8" t="inlineStr">
        <is>
          <t>BE</t>
        </is>
      </c>
      <c r="E23" s="6" t="inlineStr">
        <is>
          <t>Bảo</t>
        </is>
      </c>
      <c r="F23" s="6" t="inlineStr">
        <is>
          <t>Medium</t>
        </is>
      </c>
      <c r="G23" s="7" t="inlineStr">
        <is>
          <t>BR-S4-11: chỉ học viên có tổng kết ở lớp đó; mỗi học viên một đánh giá mỗi lớp; trong COURSE_RATING_WINDOW_DAYS (14) ngày kể từ khi lớp kết thúc. HLV thấy điểm và nhận xét ẩn danh; quản lý thấy tên người đánh giá và ẩn được nhận xét không phù hợp (audit log).</t>
        </is>
      </c>
      <c r="H23" s="6" t="inlineStr">
        <is>
          <t>sprint-4/be-bao</t>
        </is>
      </c>
      <c r="I23" s="6" t="inlineStr">
        <is>
          <t>10/11/2026</t>
        </is>
      </c>
      <c r="J23" s="6" t="inlineStr">
        <is>
          <t>12/11/2026</t>
        </is>
      </c>
      <c r="K23" s="6" t="inlineStr">
        <is>
          <t>Review</t>
        </is>
      </c>
      <c r="L23" s="7" t="inlineStr">
        <is>
          <t>POST/PUT /classes/:id/ratings, GET /coaches/:id/ratings</t>
        </is>
      </c>
    </row>
    <row r="24" ht="60" customFormat="1" customHeight="1" s="2">
      <c r="A24" s="6" t="inlineStr">
        <is>
          <t>S4-19</t>
        </is>
      </c>
      <c r="B24" s="6" t="inlineStr">
        <is>
          <t>UC-TR-07</t>
        </is>
      </c>
      <c r="C24" s="7" t="inlineStr">
        <is>
          <t>FE – Hội viên đánh giá khoá học và HLV: sau khi khoá kết thúc, hội viên chấm 1–5 sao cho khoá và cho HLV kèm nhận xét; sửa được trong thời hạn. Điểm trung bình hiện ở hồ sơ HLV (UC-UM-23) và báo cáo tổng kết khoá (UC-RPT-03).</t>
        </is>
      </c>
      <c r="D24" s="8" t="inlineStr">
        <is>
          <t>FE</t>
        </is>
      </c>
      <c r="E24" s="6" t="inlineStr">
        <is>
          <t>Khải</t>
        </is>
      </c>
      <c r="F24" s="6" t="inlineStr">
        <is>
          <t>Medium</t>
        </is>
      </c>
      <c r="G24" s="7" t="inlineStr">
        <is>
          <t>BR-S4-11: chỉ học viên có tổng kết ở lớp đó; mỗi học viên một đánh giá mỗi lớp; trong COURSE_RATING_WINDOW_DAYS (14) ngày kể từ khi lớp kết thúc. HLV thấy điểm và nhận xét ẩn danh; quản lý thấy tên người đánh giá và ẩn được nhận xét không phù hợp (audit log).</t>
        </is>
      </c>
      <c r="H24" s="6" t="inlineStr">
        <is>
          <t>sprint-4/fe-khai</t>
        </is>
      </c>
      <c r="I24" s="6" t="inlineStr">
        <is>
          <t>11/11/2026</t>
        </is>
      </c>
      <c r="J24" s="6" t="inlineStr">
        <is>
          <t>13/11/2026</t>
        </is>
      </c>
      <c r="K24" s="6" t="inlineStr">
        <is>
          <t>To Do</t>
        </is>
      </c>
      <c r="L24" s="7" t="inlineStr">
        <is>
          <t>Form đánh giá trong S38; khối đánh giá trên hồ sơ HLV phối hợp với Khôi</t>
        </is>
      </c>
    </row>
    <row r="25" ht="60" customFormat="1" customHeight="1" s="2">
      <c r="A25" s="6" t="inlineStr">
        <is>
          <t>S4-20</t>
        </is>
      </c>
      <c r="B25" s="6" t="inlineStr">
        <is>
          <t>UC-RPT-03</t>
        </is>
      </c>
      <c r="C25" s="7" t="inlineStr">
        <is>
          <t>BE – Báo cáo tổng kết khoá cho quản lý (màn S39 mới, tab trong Báo cáo): danh sách khoá kết thúc trong khoảng thời gian; tỉ lệ hoàn thành, chuyên cần trung bình, % Đạt, điểm đánh giá trung bình; lọc theo bộ môn, HLV; đánh dấu khoá HLV chưa nộp tổng kết; xuất Excel.</t>
        </is>
      </c>
      <c r="D25" s="8" t="inlineStr">
        <is>
          <t>BE</t>
        </is>
      </c>
      <c r="E25" s="6" t="inlineStr">
        <is>
          <t>Bảo</t>
        </is>
      </c>
      <c r="F25" s="6" t="inlineStr">
        <is>
          <t>Medium</t>
        </is>
      </c>
      <c r="G25" s="7" t="inlineStr">
        <is>
          <t>Quyền COURSE_SUMMARY_VIEW_ALL (report.view không đủ). Khoảng thời gian tối đa theo REPORT_MAX_DAYS hiện có. Số liệu từ cùng một truy vấn cho màn hình và file xuất.</t>
        </is>
      </c>
      <c r="H25" s="6" t="inlineStr">
        <is>
          <t>sprint-4/be-bao</t>
        </is>
      </c>
      <c r="I25" s="6" t="inlineStr">
        <is>
          <t>11/11/2026</t>
        </is>
      </c>
      <c r="J25" s="6" t="inlineStr">
        <is>
          <t>13/11/2026</t>
        </is>
      </c>
      <c r="K25" s="6" t="inlineStr">
        <is>
          <t>Review</t>
        </is>
      </c>
      <c r="L25" s="7" t="inlineStr">
        <is>
          <t>GET /reports/course-summaries + xuất Excel</t>
        </is>
      </c>
    </row>
    <row r="26" ht="60" customFormat="1" customHeight="1" s="2">
      <c r="A26" s="6" t="inlineStr">
        <is>
          <t>S4-21</t>
        </is>
      </c>
      <c r="B26" s="6" t="inlineStr">
        <is>
          <t>UC-RPT-03</t>
        </is>
      </c>
      <c r="C26" s="7" t="inlineStr">
        <is>
          <t>FE – Báo cáo tổng kết khoá cho quản lý (màn S39 mới, tab trong Báo cáo): danh sách khoá kết thúc trong khoảng thời gian; tỉ lệ hoàn thành, chuyên cần trung bình, % Đạt, điểm đánh giá trung bình; lọc theo bộ môn, HLV; đánh dấu khoá HLV chưa nộp tổng kết; xuất Excel.</t>
        </is>
      </c>
      <c r="D26" s="8" t="inlineStr">
        <is>
          <t>FE</t>
        </is>
      </c>
      <c r="E26" s="6" t="inlineStr">
        <is>
          <t>Khải</t>
        </is>
      </c>
      <c r="F26" s="6" t="inlineStr">
        <is>
          <t>Medium</t>
        </is>
      </c>
      <c r="G26" s="7" t="inlineStr">
        <is>
          <t>Quyền COURSE_SUMMARY_VIEW_ALL (report.view không đủ). Khoảng thời gian tối đa theo REPORT_MAX_DAYS hiện có. Số liệu từ cùng một truy vấn cho màn hình và file xuất.</t>
        </is>
      </c>
      <c r="H26" s="6" t="inlineStr">
        <is>
          <t>sprint-4/fe-khai</t>
        </is>
      </c>
      <c r="I26" s="6" t="inlineStr">
        <is>
          <t>12/11/2026</t>
        </is>
      </c>
      <c r="J26" s="6" t="inlineStr">
        <is>
          <t>14/11/2026</t>
        </is>
      </c>
      <c r="K26" s="6" t="inlineStr">
        <is>
          <t>To Do</t>
        </is>
      </c>
      <c r="L26" s="7" t="inlineStr">
        <is>
          <t>Tab "Tổng kết khoá" trong trang Báo cáo</t>
        </is>
      </c>
    </row>
    <row r="27" ht="60" customFormat="1" customHeight="1" s="2">
      <c r="A27" s="6" t="inlineStr">
        <is>
          <t>S4-22</t>
        </is>
      </c>
      <c r="B27" s="6" t="inlineStr">
        <is>
          <t>UC-RPT-02</t>
        </is>
      </c>
      <c r="C27" s="7" t="inlineStr">
        <is>
          <t>BE – Doanh thu theo thời gian (màn 17 mở rộng): chọn nhóm theo ngày / tuần / tháng / quý / năm và khoảng nhanh (hôm nay, 7 ngày, tháng này, quý này, năm nay, tuỳ chọn); biểu đồ cột thu – hoàn – thuần theo từng kỳ, bảng số liệu bên dưới.</t>
        </is>
      </c>
      <c r="D27" s="8" t="inlineStr">
        <is>
          <t>BE</t>
        </is>
      </c>
      <c r="E27" s="6" t="inlineStr">
        <is>
          <t>Bảo</t>
        </is>
      </c>
      <c r="F27" s="6" t="inlineStr">
        <is>
          <t>Medium</t>
        </is>
      </c>
      <c r="G27" s="7" t="inlineStr">
        <is>
          <t>BR-S4-12: ghi nhận doanh thu theo ngày thanh toán (paidAt), hoàn theo ngày hoàn (completedAt), múi giờ Việt Nam, tuần bắt đầu thứ Hai. Phần trả bằng số dư không tính lại (BR-GY-13). BR-S4-14: giới hạn khoảng theo nhóm đọc từ cấu hình: ngày ≤ 92 ngày, tuần ≤ 1 năm, tháng/quý/năm ≤ 5 năm.</t>
        </is>
      </c>
      <c r="H27" s="6" t="inlineStr">
        <is>
          <t>sprint-4/be-bao</t>
        </is>
      </c>
      <c r="I27" s="6" t="inlineStr">
        <is>
          <t>04/11/2026</t>
        </is>
      </c>
      <c r="J27" s="6" t="inlineStr">
        <is>
          <t>07/11/2026</t>
        </is>
      </c>
      <c r="K27" s="6" t="inlineStr">
        <is>
          <t>Review</t>
        </is>
      </c>
      <c r="L27" s="7" t="inlineStr">
        <is>
          <t>Tham số groupBy=day|week|month|quarter|year; hàm chia kỳ dùng chung cho #123 · Chuyển từ Nhanh sang Bảo theo phân công 29/10/2026.</t>
        </is>
      </c>
    </row>
    <row r="28" ht="60" customFormat="1" customHeight="1" s="2">
      <c r="A28" s="6" t="inlineStr">
        <is>
          <t>S4-23</t>
        </is>
      </c>
      <c r="B28" s="6" t="inlineStr">
        <is>
          <t>UC-RPT-02</t>
        </is>
      </c>
      <c r="C28" s="7" t="inlineStr">
        <is>
          <t>FE – Doanh thu theo thời gian (màn 17 mở rộng): chọn nhóm theo ngày / tuần / tháng / quý / năm và khoảng nhanh (hôm nay, 7 ngày, tháng này, quý này, năm nay, tuỳ chọn); biểu đồ cột thu – hoàn – thuần theo từng kỳ, bảng số liệu bên dưới.</t>
        </is>
      </c>
      <c r="D28" s="8" t="inlineStr">
        <is>
          <t>FE</t>
        </is>
      </c>
      <c r="E28" s="6" t="inlineStr">
        <is>
          <t>Bảo</t>
        </is>
      </c>
      <c r="F28" s="6" t="inlineStr">
        <is>
          <t>Medium</t>
        </is>
      </c>
      <c r="G28" s="7" t="inlineStr">
        <is>
          <t>BR-S4-12: ghi nhận doanh thu theo ngày thanh toán (paidAt), hoàn theo ngày hoàn (completedAt), múi giờ Việt Nam, tuần bắt đầu thứ Hai. Phần trả bằng số dư không tính lại (BR-GY-13). BR-S4-14: giới hạn khoảng theo nhóm đọc từ cấu hình: ngày ≤ 92 ngày, tuần ≤ 1 năm, tháng/quý/năm ≤ 5 năm.</t>
        </is>
      </c>
      <c r="H28" s="6" t="inlineStr">
        <is>
          <t>sprint-4/be-bao</t>
        </is>
      </c>
      <c r="I28" s="6" t="inlineStr">
        <is>
          <t>06/11/2026</t>
        </is>
      </c>
      <c r="J28" s="6" t="inlineStr">
        <is>
          <t>09/11/2026</t>
        </is>
      </c>
      <c r="K28" s="6" t="inlineStr">
        <is>
          <t>Review</t>
        </is>
      </c>
      <c r="L28" s="7" t="inlineStr">
        <is>
          <t>Bộ chọn nhóm + khoảng nhanh, biểu đồ cột · Chuyển từ Nhanh sang Bảo theo phân công 29/10/2026.</t>
        </is>
      </c>
    </row>
    <row r="29" ht="60" customFormat="1" customHeight="1" s="2">
      <c r="A29" s="6" t="inlineStr">
        <is>
          <t>S4-24</t>
        </is>
      </c>
      <c r="B29" s="6" t="inlineStr">
        <is>
          <t>UC-RPT-02</t>
        </is>
      </c>
      <c r="C29" s="7" t="inlineStr">
        <is>
          <t>BE – So sánh kỳ trước và cơ cấu doanh thu: % tăng/giảm so với khoảng liền trước cùng độ dài; tách doanh thu theo loại (gói tự tập / khoá học / chênh lệch đổi), theo kênh (online / tại quầy); top gói tự tập, top lớp và theo bộ môn.</t>
        </is>
      </c>
      <c r="D29" s="8" t="inlineStr">
        <is>
          <t>BE</t>
        </is>
      </c>
      <c r="E29" s="6" t="inlineStr">
        <is>
          <t>Bảo</t>
        </is>
      </c>
      <c r="F29" s="6" t="inlineStr">
        <is>
          <t>Complex</t>
        </is>
      </c>
      <c r="G29" s="7" t="inlineStr">
        <is>
          <t>BR-S4-13: kỳ trước bằng 0 thì hiện "—" thay vì vô cực. BR-S4-15: tổng các phần cơ cấu phải bằng doanh thu thuần của kỳ (có test BE). Hoá đơn ADJUSTMENT tính vào nhóm "chênh lệch", không cộng vào gói/khoá gốc.</t>
        </is>
      </c>
      <c r="H29" s="6" t="inlineStr">
        <is>
          <t>sprint-4/be-bao</t>
        </is>
      </c>
      <c r="I29" s="6" t="inlineStr">
        <is>
          <t>07/11/2026</t>
        </is>
      </c>
      <c r="J29" s="6" t="inlineStr">
        <is>
          <t>11/11/2026</t>
        </is>
      </c>
      <c r="K29" s="6" t="inlineStr">
        <is>
          <t>Review</t>
        </is>
      </c>
      <c r="L29" s="7" t="inlineStr">
        <is>
          <t>compare=previous, breakdown theo loại hoá đơn/kênh/gói/lớp/bộ môn · Chuyển từ Nhanh sang Bảo theo phân công 29/10/2026.</t>
        </is>
      </c>
    </row>
    <row r="30" ht="60" customFormat="1" customHeight="1" s="2">
      <c r="A30" s="6" t="inlineStr">
        <is>
          <t>S4-25</t>
        </is>
      </c>
      <c r="B30" s="6" t="inlineStr">
        <is>
          <t>UC-RPT-02</t>
        </is>
      </c>
      <c r="C30" s="7" t="inlineStr">
        <is>
          <t>FE – So sánh kỳ trước và cơ cấu doanh thu: % tăng/giảm so với khoảng liền trước cùng độ dài; tách doanh thu theo loại (gói tự tập / khoá học / chênh lệch đổi), theo kênh (online / tại quầy); top gói tự tập, top lớp và theo bộ môn.</t>
        </is>
      </c>
      <c r="D30" s="8" t="inlineStr">
        <is>
          <t>FE</t>
        </is>
      </c>
      <c r="E30" s="6" t="inlineStr">
        <is>
          <t>Bảo</t>
        </is>
      </c>
      <c r="F30" s="6" t="inlineStr">
        <is>
          <t>Complex</t>
        </is>
      </c>
      <c r="G30" s="7" t="inlineStr">
        <is>
          <t>BR-S4-13: kỳ trước bằng 0 thì hiện "—" thay vì vô cực. BR-S4-15: tổng các phần cơ cấu phải bằng doanh thu thuần của kỳ (có test BE). Hoá đơn ADJUSTMENT tính vào nhóm "chênh lệch", không cộng vào gói/khoá gốc.</t>
        </is>
      </c>
      <c r="H30" s="6" t="inlineStr">
        <is>
          <t>sprint-4/be-bao</t>
        </is>
      </c>
      <c r="I30" s="6" t="inlineStr">
        <is>
          <t>10/11/2026</t>
        </is>
      </c>
      <c r="J30" s="6" t="inlineStr">
        <is>
          <t>12/11/2026</t>
        </is>
      </c>
      <c r="K30" s="6" t="inlineStr">
        <is>
          <t>Review</t>
        </is>
      </c>
      <c r="L30" s="7" t="inlineStr">
        <is>
          <t>Thẻ KPI có % so với kỳ trước, biểu đồ cơ cấu, bảng top · Chuyển từ Nhanh sang Bảo theo phân công 29/10/2026.</t>
        </is>
      </c>
    </row>
    <row r="31" ht="60" customFormat="1" customHeight="1" s="2">
      <c r="A31" s="6" t="inlineStr">
        <is>
          <t>S4-26</t>
        </is>
      </c>
      <c r="B31" s="6" t="inlineStr">
        <is>
          <t>UC-RPT-04</t>
        </is>
      </c>
      <c r="C31" s="7" t="inlineStr">
        <is>
          <t>BE – Báo cáo hội viên và đăng ký theo thời gian (màn 17, tab mới): theo cùng nhóm ngày/tuần/tháng/quý/năm — số hội viên mới, kỳ gói đang hiệu lực, đăng ký khoá học mới, số huỷ gói/huỷ khoá, tỉ lệ lấp đầy lớp.</t>
        </is>
      </c>
      <c r="D31" s="8" t="inlineStr">
        <is>
          <t>BE</t>
        </is>
      </c>
      <c r="E31" s="6" t="inlineStr">
        <is>
          <t>Bảo</t>
        </is>
      </c>
      <c r="F31" s="6" t="inlineStr">
        <is>
          <t>Medium</t>
        </is>
      </c>
      <c r="G31" s="7" t="inlineStr">
        <is>
          <t>Đáp ứng yêu cầu đề tài "báo cáo số lượng thành viên, tình trạng đăng ký lớp và doanh thu theo thời gian". Dùng chung bộ lọc và hàm chia kỳ với UC-RPT-02 (không viết lại).</t>
        </is>
      </c>
      <c r="H31" s="6" t="inlineStr">
        <is>
          <t>sprint-4/be-bao</t>
        </is>
      </c>
      <c r="I31" s="6" t="inlineStr">
        <is>
          <t>06/11/2026</t>
        </is>
      </c>
      <c r="J31" s="6" t="inlineStr">
        <is>
          <t>09/11/2026</t>
        </is>
      </c>
      <c r="K31" s="6" t="inlineStr">
        <is>
          <t>Review</t>
        </is>
      </c>
      <c r="L31" s="7" t="inlineStr">
        <is>
          <t>Tách file report-member.service.js, dùng hàm chia kỳ của S4-22</t>
        </is>
      </c>
    </row>
    <row r="32" ht="60" customFormat="1" customHeight="1" s="2">
      <c r="A32" s="6" t="inlineStr">
        <is>
          <t>S4-27</t>
        </is>
      </c>
      <c r="B32" s="6" t="inlineStr">
        <is>
          <t>UC-RPT-04</t>
        </is>
      </c>
      <c r="C32" s="7" t="inlineStr">
        <is>
          <t>FE – Báo cáo hội viên và đăng ký theo thời gian (màn 17, tab mới): theo cùng nhóm ngày/tuần/tháng/quý/năm — số hội viên mới, kỳ gói đang hiệu lực, đăng ký khoá học mới, số huỷ gói/huỷ khoá, tỉ lệ lấp đầy lớp.</t>
        </is>
      </c>
      <c r="D32" s="8" t="inlineStr">
        <is>
          <t>FE</t>
        </is>
      </c>
      <c r="E32" s="6" t="inlineStr">
        <is>
          <t>Bảo</t>
        </is>
      </c>
      <c r="F32" s="6" t="inlineStr">
        <is>
          <t>Medium</t>
        </is>
      </c>
      <c r="G32" s="7" t="inlineStr">
        <is>
          <t>Đáp ứng yêu cầu đề tài "báo cáo số lượng thành viên, tình trạng đăng ký lớp và doanh thu theo thời gian". Dùng chung bộ lọc và hàm chia kỳ với UC-RPT-02 (không viết lại).</t>
        </is>
      </c>
      <c r="H32" s="6" t="inlineStr">
        <is>
          <t>sprint-4/be-bao</t>
        </is>
      </c>
      <c r="I32" s="6" t="inlineStr">
        <is>
          <t>11/11/2026</t>
        </is>
      </c>
      <c r="J32" s="6" t="inlineStr">
        <is>
          <t>13/11/2026</t>
        </is>
      </c>
      <c r="K32" s="6" t="inlineStr">
        <is>
          <t>Review</t>
        </is>
      </c>
      <c r="L32" s="7" t="inlineStr">
        <is>
          <t>Tab "Hội viên &amp; đăng ký" trong Báo cáo · Chuyển từ Nhanh sang Bảo theo phân công 29/10/2026.</t>
        </is>
      </c>
    </row>
    <row r="33" ht="60" customFormat="1" customHeight="1" s="2">
      <c r="A33" s="6" t="inlineStr">
        <is>
          <t>S4-28</t>
        </is>
      </c>
      <c r="B33" s="6" t="inlineStr">
        <is>
          <t>UC-RPT-01</t>
        </is>
      </c>
      <c r="C33" s="7" t="inlineStr">
        <is>
          <t>BE – Xuất báo cáo theo nhóm thời gian (sửa UC-RPT-01): PDF/CSV/Excel giữ đúng nhóm kỳ, phần so sánh kỳ trước và cơ cấu doanh thu như trên màn hình.</t>
        </is>
      </c>
      <c r="D33" s="8" t="inlineStr">
        <is>
          <t>BE</t>
        </is>
      </c>
      <c r="E33" s="6" t="inlineStr">
        <is>
          <t>Bảo</t>
        </is>
      </c>
      <c r="F33" s="6" t="inlineStr">
        <is>
          <t>Simple</t>
        </is>
      </c>
      <c r="G33" s="7" t="inlineStr">
        <is>
          <t>Cùng dữ liệu và công thức với dashboard (một hàm build dùng chung, như buildRevenue hiện tại).</t>
        </is>
      </c>
      <c r="H33" s="6" t="inlineStr">
        <is>
          <t>sprint-4/be-bao</t>
        </is>
      </c>
      <c r="I33" s="6" t="inlineStr">
        <is>
          <t>12/11/2026</t>
        </is>
      </c>
      <c r="J33" s="6" t="inlineStr">
        <is>
          <t>13/11/2026</t>
        </is>
      </c>
      <c r="K33" s="6" t="inlineStr">
        <is>
          <t>Review</t>
        </is>
      </c>
      <c r="L33" s="7" t="inlineStr">
        <is>
          <t>Sửa report-export.service.js · Chuyển từ Nhanh sang Bảo theo phân công 29/10/2026.</t>
        </is>
      </c>
    </row>
    <row r="34" ht="60" customFormat="1" customHeight="1" s="2">
      <c r="A34" s="6" t="inlineStr">
        <is>
          <t>S4-29</t>
        </is>
      </c>
      <c r="B34" s="6" t="inlineStr">
        <is>
          <t>Kiểm thử</t>
        </is>
      </c>
      <c r="C34" s="7" t="inlineStr">
        <is>
          <t>Kiểm thử – E2E Playwright tổng kết khoá, đánh giá, báo cáo doanh thu theo thời gian, xuất file.</t>
        </is>
      </c>
      <c r="D34" s="8" t="inlineStr">
        <is>
          <t>Test</t>
        </is>
      </c>
      <c r="E34" s="6" t="inlineStr">
        <is>
          <t>Khải</t>
        </is>
      </c>
      <c r="F34" s="6" t="inlineStr">
        <is>
          <t>Medium</t>
        </is>
      </c>
      <c r="G34" s="7" t="inlineStr">
        <is>
          <t>Chạy trên npm run db:demo; E2E cũ phải pass.</t>
        </is>
      </c>
      <c r="H34" s="6" t="inlineStr">
        <is>
          <t>sprint-4/fe-khai</t>
        </is>
      </c>
      <c r="I34" s="6" t="inlineStr">
        <is>
          <t>12/11/2026</t>
        </is>
      </c>
      <c r="J34" s="6" t="inlineStr">
        <is>
          <t>15/11/2026</t>
        </is>
      </c>
      <c r="K34" s="6" t="inlineStr">
        <is>
          <t>To Do</t>
        </is>
      </c>
      <c r="L34" s="7" t="inlineStr">
        <is>
          <t>#125</t>
        </is>
      </c>
    </row>
    <row r="35" ht="60" customFormat="1" customHeight="1" s="2">
      <c r="A35" s="6" t="inlineStr">
        <is>
          <t>S4-30</t>
        </is>
      </c>
      <c r="B35" s="6" t="inlineStr">
        <is>
          <t>Kiểm thử</t>
        </is>
      </c>
      <c r="C35" s="7" t="inlineStr">
        <is>
          <t>Kiểm thử – E2E Playwright hồ sơ HLV, hồ sơ hội viên, HLV xem hồ sơ học viên (trong và ngoài phạm vi).</t>
        </is>
      </c>
      <c r="D35" s="8" t="inlineStr">
        <is>
          <t>Test</t>
        </is>
      </c>
      <c r="E35" s="6" t="inlineStr">
        <is>
          <t>Khôi</t>
        </is>
      </c>
      <c r="F35" s="6" t="inlineStr">
        <is>
          <t>Simple</t>
        </is>
      </c>
      <c r="G35" s="7" t="inlineStr">
        <is>
          <t>BR-S4-03: kiểm tra 403 khi HLV mở hồ sơ hội viên không học lớp mình.</t>
        </is>
      </c>
      <c r="H35" s="6" t="inlineStr">
        <is>
          <t>sprint-4/fe-khoi</t>
        </is>
      </c>
      <c r="I35" s="6" t="inlineStr">
        <is>
          <t>12/11/2026</t>
        </is>
      </c>
      <c r="J35" s="6" t="inlineStr">
        <is>
          <t>14/11/2026</t>
        </is>
      </c>
      <c r="K35" s="6" t="inlineStr">
        <is>
          <t>To Do</t>
        </is>
      </c>
      <c r="L35" s="7" t="inlineStr">
        <is>
          <t>#125</t>
        </is>
      </c>
    </row>
    <row r="36" ht="60" customFormat="1" customHeight="1" s="2">
      <c r="A36" s="6" t="inlineStr">
        <is>
          <t>S4-31</t>
        </is>
      </c>
      <c r="B36" s="6" t="inlineStr">
        <is>
          <t>Kiểm thử</t>
        </is>
      </c>
      <c r="C36" s="7" t="inlineStr">
        <is>
          <t>Kiểm thử – Bổ sung test case Sprint 4 vào docs/kiem-thu/SWP391_TestCase.xlsx và ghi kết quả chạy.</t>
        </is>
      </c>
      <c r="D36" s="8" t="inlineStr">
        <is>
          <t>Test</t>
        </is>
      </c>
      <c r="E36" s="6" t="inlineStr">
        <is>
          <t>Khải</t>
        </is>
      </c>
      <c r="F36" s="6" t="inlineStr">
        <is>
          <t>Simple</t>
        </is>
      </c>
      <c r="G36" s="7" t="inlineStr">
        <is>
          <t>—</t>
        </is>
      </c>
      <c r="H36" s="6" t="inlineStr">
        <is>
          <t>sprint-4/fe-khai</t>
        </is>
      </c>
      <c r="I36" s="6" t="inlineStr">
        <is>
          <t>13/11/2026</t>
        </is>
      </c>
      <c r="J36" s="6" t="inlineStr">
        <is>
          <t>15/11/2026</t>
        </is>
      </c>
      <c r="K36" s="6" t="inlineStr">
        <is>
          <t>To Do</t>
        </is>
      </c>
      <c r="L36" s="7" t="inlineStr">
        <is>
          <t>Khôi viết phần hồ sơ, Khải phần còn lại. #125</t>
        </is>
      </c>
    </row>
    <row r="37" ht="60" customFormat="1" customHeight="1" s="2">
      <c r="A37" s="6" t="inlineStr">
        <is>
          <t>S4-32</t>
        </is>
      </c>
      <c r="B37" s="6" t="inlineStr">
        <is>
          <t>Tài liệu</t>
        </is>
      </c>
      <c r="C37" s="7" t="inlineStr">
        <is>
          <t>Tài liệu – Đặc tả UC-UM-22…25, UC-TR-05…07, UC-RPT-02…04, BR-S4-01…15 vào docs/yeu-cau; ERD bổ sung.</t>
        </is>
      </c>
      <c r="D37" s="8" t="inlineStr">
        <is>
          <t>Docs</t>
        </is>
      </c>
      <c r="E37" s="6" t="inlineStr">
        <is>
          <t>Bảo</t>
        </is>
      </c>
      <c r="F37" s="6" t="inlineStr">
        <is>
          <t>Simple</t>
        </is>
      </c>
      <c r="G37" s="7" t="inlineStr">
        <is>
          <t>—</t>
        </is>
      </c>
      <c r="H37" s="6" t="inlineStr">
        <is>
          <t>sprint-4/be-bao</t>
        </is>
      </c>
      <c r="I37" s="6" t="inlineStr">
        <is>
          <t>12/11/2026</t>
        </is>
      </c>
      <c r="J37" s="6" t="inlineStr">
        <is>
          <t>15/11/2026</t>
        </is>
      </c>
      <c r="K37" s="6" t="inlineStr">
        <is>
          <t>To Do</t>
        </is>
      </c>
      <c r="L37" s="7" t="inlineStr">
        <is>
          <t>#126</t>
        </is>
      </c>
    </row>
    <row r="38" ht="60" customFormat="1" customHeight="1" s="2">
      <c r="A38" s="6" t="inlineStr">
        <is>
          <t>S4-33</t>
        </is>
      </c>
      <c r="B38" s="6" t="inlineStr">
        <is>
          <t>Tài liệu</t>
        </is>
      </c>
      <c r="C38" s="7" t="inlineStr">
        <is>
          <t>Tài liệu – Seed demo Sprint 4: khoá đã kết thúc có/chưa có tổng kết, đánh giá, hồ sơ HLV/hội viên đầy đủ, doanh thu rải 12 tháng để xem theo tháng/quý.</t>
        </is>
      </c>
      <c r="D38" s="8" t="inlineStr">
        <is>
          <t>BE</t>
        </is>
      </c>
      <c r="E38" s="6" t="inlineStr">
        <is>
          <t>Bảo</t>
        </is>
      </c>
      <c r="F38" s="6" t="inlineStr">
        <is>
          <t>Medium</t>
        </is>
      </c>
      <c r="G38" s="7" t="inlineStr">
        <is>
          <t>—</t>
        </is>
      </c>
      <c r="H38" s="6" t="inlineStr">
        <is>
          <t>sprint-4/be-bao</t>
        </is>
      </c>
      <c r="I38" s="6" t="inlineStr">
        <is>
          <t>10/11/2026</t>
        </is>
      </c>
      <c r="J38" s="6" t="inlineStr">
        <is>
          <t>13/11/2026</t>
        </is>
      </c>
      <c r="K38" s="6" t="inlineStr">
        <is>
          <t>To Do</t>
        </is>
      </c>
      <c r="L38" s="7" t="inlineStr">
        <is>
          <t>#126 · Chuyển từ Nhanh sang Bảo theo phân công 29/10/2026.</t>
        </is>
      </c>
    </row>
    <row r="39" ht="60" customFormat="1" customHeight="1" s="2">
      <c r="A39" s="6" t="inlineStr">
        <is>
          <t>S4-34</t>
        </is>
      </c>
      <c r="B39" s="6" t="inlineStr">
        <is>
          <t>Tài liệu</t>
        </is>
      </c>
      <c r="C39" s="7" t="inlineStr">
        <is>
          <t>Tài liệu – Kịch bản demo cuối kỳ (cập nhật LoTrinh_Demo) và diễn tập cả nhóm.</t>
        </is>
      </c>
      <c r="D39" s="8" t="inlineStr">
        <is>
          <t>Docs</t>
        </is>
      </c>
      <c r="E39" s="6" t="inlineStr">
        <is>
          <t>Bảo</t>
        </is>
      </c>
      <c r="F39" s="6" t="inlineStr">
        <is>
          <t>Simple</t>
        </is>
      </c>
      <c r="G39" s="7" t="inlineStr">
        <is>
          <t>—</t>
        </is>
      </c>
      <c r="H39" s="6" t="inlineStr">
        <is>
          <t>sprint-4/be-bao</t>
        </is>
      </c>
      <c r="I39" s="6" t="inlineStr">
        <is>
          <t>14/11/2026</t>
        </is>
      </c>
      <c r="J39" s="6" t="inlineStr">
        <is>
          <t>15/11/2026</t>
        </is>
      </c>
      <c r="K39" s="6" t="inlineStr">
        <is>
          <t>To Do</t>
        </is>
      </c>
      <c r="L39" s="7" t="inlineStr">
        <is>
          <t>#126. Khoá code 16/11. · Chuyển từ Nhanh sang Bảo theo phân công 29/10/2026.</t>
        </is>
      </c>
    </row>
    <row r="40" customFormat="1" s="2"/>
    <row r="41" customFormat="1" s="2"/>
    <row r="42" customFormat="1" s="2"/>
    <row r="43" customFormat="1" s="2"/>
    <row r="44" customFormat="1" s="2"/>
    <row r="45" customFormat="1" s="2"/>
    <row r="46" customFormat="1" s="2"/>
    <row r="47" customFormat="1" s="2"/>
    <row r="48" customFormat="1" s="2"/>
    <row r="49" customFormat="1" s="2"/>
    <row r="50" customFormat="1" s="2"/>
    <row r="51" customFormat="1" s="2"/>
    <row r="52" customFormat="1" s="2"/>
    <row r="53" customFormat="1" s="2"/>
    <row r="54" customFormat="1" s="2"/>
    <row r="55" customFormat="1" s="2"/>
    <row r="56" customFormat="1" s="2"/>
    <row r="57" customFormat="1" s="2"/>
    <row r="58" customFormat="1" s="2"/>
    <row r="59" customFormat="1" s="2"/>
    <row r="60" customFormat="1" s="2"/>
    <row r="61" customFormat="1" s="2"/>
    <row r="62" customFormat="1" s="2"/>
    <row r="63" customFormat="1" s="2"/>
    <row r="64" customFormat="1" s="2"/>
    <row r="65" customFormat="1" s="2"/>
    <row r="66" customFormat="1" s="2"/>
    <row r="67" customFormat="1" s="2"/>
    <row r="68" customFormat="1" s="2"/>
    <row r="69" customFormat="1" s="2"/>
    <row r="70" customFormat="1" s="2"/>
    <row r="71" customFormat="1" s="2"/>
    <row r="72" customFormat="1" s="2"/>
    <row r="73" customFormat="1" s="2"/>
    <row r="74" customFormat="1" s="2"/>
    <row r="75" customFormat="1" s="2"/>
    <row r="76" customFormat="1" s="2"/>
    <row r="77" customFormat="1" s="2"/>
    <row r="78" customFormat="1" s="2"/>
    <row r="79" customFormat="1" s="2"/>
    <row r="80" customFormat="1" s="2"/>
    <row r="81" customFormat="1" s="2"/>
    <row r="82" customFormat="1" s="2"/>
    <row r="83" customFormat="1" s="2"/>
    <row r="84" customFormat="1" s="2"/>
    <row r="85" customFormat="1" s="2"/>
    <row r="86" customFormat="1" s="2"/>
    <row r="87" customFormat="1" s="2"/>
    <row r="88" customFormat="1" s="2"/>
    <row r="89" customFormat="1" s="2"/>
    <row r="90" customFormat="1" s="2"/>
    <row r="91" customFormat="1" s="2"/>
    <row r="92" customFormat="1" s="2"/>
    <row r="93" customFormat="1" s="2"/>
    <row r="94" customFormat="1" s="2"/>
    <row r="95" customFormat="1" s="2"/>
    <row r="96" customFormat="1" s="2"/>
    <row r="97" customFormat="1" s="2"/>
    <row r="98" customFormat="1" s="2"/>
    <row r="99" customFormat="1" s="2"/>
    <row r="100" customFormat="1" s="2"/>
    <row r="101" customFormat="1" s="2"/>
    <row r="102" customFormat="1" s="2"/>
    <row r="103" customFormat="1" s="2"/>
    <row r="104" customFormat="1" s="2"/>
    <row r="105" customFormat="1" s="2"/>
    <row r="106" customFormat="1" s="2"/>
    <row r="107" customFormat="1" s="2"/>
    <row r="108" customFormat="1" s="2"/>
    <row r="109" customFormat="1" s="2"/>
    <row r="110" customFormat="1" s="2"/>
    <row r="111" customFormat="1" s="2"/>
    <row r="112" customFormat="1" s="2"/>
    <row r="113" customFormat="1" s="2"/>
    <row r="114" customFormat="1" s="2"/>
    <row r="115" customFormat="1" s="2"/>
    <row r="116" customFormat="1" s="2"/>
    <row r="117" customFormat="1" s="2"/>
    <row r="118" customFormat="1" s="2"/>
    <row r="119" customFormat="1" s="2"/>
    <row r="120" customFormat="1" s="2"/>
    <row r="121" customFormat="1" s="2"/>
    <row r="122" customFormat="1" s="2"/>
    <row r="123" customFormat="1" s="2"/>
    <row r="128"/>
  </sheetData>
  <autoFilter ref="A4:L39"/>
  <mergeCells count="2">
    <mergeCell ref="A2:L2"/>
    <mergeCell ref="A1:L1"/>
  </mergeCells>
  <conditionalFormatting sqref="K5:K39">
    <cfRule type="cellIs" priority="2" operator="equal" dxfId="0">
      <formula>"Done"</formula>
    </cfRule>
    <cfRule type="cellIs" priority="3" operator="equal" dxfId="1">
      <formula>"Review"</formula>
    </cfRule>
    <cfRule type="cellIs" priority="4" operator="equal" dxfId="2">
      <formula>"In Progress"</formula>
    </cfRule>
    <cfRule type="cellIs" priority="5" operator="equal" dxfId="3">
      <formula>"To Do"</formula>
    </cfRule>
  </conditionalFormatting>
  <dataValidations count="1">
    <dataValidation sqref="K5:K39" showDropDown="0" showInputMessage="0" showErrorMessage="0" allowBlank="1" type="list">
      <formula1>"To Do,In Progress,Review,Done"</formula1>
    </dataValidation>
  </dataValidations>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H19"/>
  <sheetViews>
    <sheetView view="normal" zoomScale="100" zoomScaleNormal="100" workbookViewId="0">
      <selection activeCell="A1" sqref="A1"/>
    </sheetView>
  </sheetViews>
  <sheetFormatPr baseColWidth="8" defaultColWidth="8.6171875" defaultRowHeight="13.5" customHeight="1" outlineLevelRow="0"/>
  <cols>
    <col width="14" customWidth="1" style="1" min="1" max="8"/>
  </cols>
  <sheetData>
    <row r="1" ht="16.5" customFormat="1" customHeight="1" s="2">
      <c r="A1" s="9" t="inlineStr">
        <is>
          <t>Tiến độ Sprint 4 theo thành viên</t>
        </is>
      </c>
    </row>
    <row r="3" ht="13.5" customFormat="1" customHeight="1" s="2">
      <c r="A3" s="10" t="inlineStr">
        <is>
          <t>Thành viên</t>
        </is>
      </c>
      <c r="B3" s="10" t="inlineStr">
        <is>
          <t>Vai</t>
        </is>
      </c>
      <c r="C3" s="10" t="inlineStr">
        <is>
          <t>Tổng task</t>
        </is>
      </c>
      <c r="D3" s="10" t="inlineStr">
        <is>
          <t>To Do</t>
        </is>
      </c>
      <c r="E3" s="10" t="inlineStr">
        <is>
          <t>In Progress</t>
        </is>
      </c>
      <c r="F3" s="10" t="inlineStr">
        <is>
          <t>Review</t>
        </is>
      </c>
      <c r="G3" s="10" t="inlineStr">
        <is>
          <t>Done</t>
        </is>
      </c>
      <c r="H3" s="10" t="inlineStr">
        <is>
          <t>% Done</t>
        </is>
      </c>
    </row>
    <row r="4" ht="13.5" customFormat="1" customHeight="1" s="2">
      <c r="A4" s="11" t="inlineStr">
        <is>
          <t>Nhanh</t>
        </is>
      </c>
      <c r="B4" s="11" t="inlineStr">
        <is>
          <t>BE · Leader (+ FE báo cáo)</t>
        </is>
      </c>
      <c r="C4" s="11">
        <f>COUNTIF('Task Sprint 4'!$E$5:$E$39,A4)</f>
        <v/>
      </c>
      <c r="D4" s="11">
        <f>COUNTIFS('Task Sprint 4'!$E$5:$E$39,$A4,'Task Sprint 4'!$K$5:$K$39,"To Do")</f>
        <v/>
      </c>
      <c r="E4" s="11">
        <f>COUNTIFS('Task Sprint 4'!$E$5:$E$39,$A4,'Task Sprint 4'!$K$5:$K$39,"In Progress")</f>
        <v/>
      </c>
      <c r="F4" s="11">
        <f>COUNTIFS('Task Sprint 4'!$E$5:$E$39,$A4,'Task Sprint 4'!$K$5:$K$39,"Review")</f>
        <v/>
      </c>
      <c r="G4" s="11">
        <f>COUNTIFS('Task Sprint 4'!$E$5:$E$39,$A4,'Task Sprint 4'!$K$5:$K$39,"Done")</f>
        <v/>
      </c>
      <c r="H4" s="12">
        <f>IF(C4=0,0,G4/C4)</f>
        <v/>
      </c>
    </row>
    <row r="5" ht="13.5" customFormat="1" customHeight="1" s="2">
      <c r="A5" s="11" t="inlineStr">
        <is>
          <t>Bảo</t>
        </is>
      </c>
      <c r="B5" s="11" t="inlineStr">
        <is>
          <t>BE</t>
        </is>
      </c>
      <c r="C5" s="11">
        <f>COUNTIF('Task Sprint 4'!$E$5:$E$39,A5)</f>
        <v/>
      </c>
      <c r="D5" s="11">
        <f>COUNTIFS('Task Sprint 4'!$E$5:$E$39,$A5,'Task Sprint 4'!$K$5:$K$39,"To Do")</f>
        <v/>
      </c>
      <c r="E5" s="11">
        <f>COUNTIFS('Task Sprint 4'!$E$5:$E$39,$A5,'Task Sprint 4'!$K$5:$K$39,"In Progress")</f>
        <v/>
      </c>
      <c r="F5" s="11">
        <f>COUNTIFS('Task Sprint 4'!$E$5:$E$39,$A5,'Task Sprint 4'!$K$5:$K$39,"Review")</f>
        <v/>
      </c>
      <c r="G5" s="11">
        <f>COUNTIFS('Task Sprint 4'!$E$5:$E$39,$A5,'Task Sprint 4'!$K$5:$K$39,"Done")</f>
        <v/>
      </c>
      <c r="H5" s="12">
        <f>IF(C5=0,0,G5/C5)</f>
        <v/>
      </c>
    </row>
    <row r="6" ht="13.5" customFormat="1" customHeight="1" s="2">
      <c r="A6" s="11" t="inlineStr">
        <is>
          <t>Khôi</t>
        </is>
      </c>
      <c r="B6" s="11" t="inlineStr">
        <is>
          <t>Full-stack (hồ sơ)</t>
        </is>
      </c>
      <c r="C6" s="11">
        <f>COUNTIF('Task Sprint 4'!$E$5:$E$39,A6)</f>
        <v/>
      </c>
      <c r="D6" s="11">
        <f>COUNTIFS('Task Sprint 4'!$E$5:$E$39,$A6,'Task Sprint 4'!$K$5:$K$39,"To Do")</f>
        <v/>
      </c>
      <c r="E6" s="11">
        <f>COUNTIFS('Task Sprint 4'!$E$5:$E$39,$A6,'Task Sprint 4'!$K$5:$K$39,"In Progress")</f>
        <v/>
      </c>
      <c r="F6" s="11">
        <f>COUNTIFS('Task Sprint 4'!$E$5:$E$39,$A6,'Task Sprint 4'!$K$5:$K$39,"Review")</f>
        <v/>
      </c>
      <c r="G6" s="11">
        <f>COUNTIFS('Task Sprint 4'!$E$5:$E$39,$A6,'Task Sprint 4'!$K$5:$K$39,"Done")</f>
        <v/>
      </c>
      <c r="H6" s="12">
        <f>IF(C6=0,0,G6/C6)</f>
        <v/>
      </c>
    </row>
    <row r="7" ht="13.5" customFormat="1" customHeight="1" s="2">
      <c r="A7" s="11" t="inlineStr">
        <is>
          <t>Khải</t>
        </is>
      </c>
      <c r="B7" s="11" t="inlineStr">
        <is>
          <t>FE</t>
        </is>
      </c>
      <c r="C7" s="11">
        <f>COUNTIF('Task Sprint 4'!$E$5:$E$39,A7)</f>
        <v/>
      </c>
      <c r="D7" s="11">
        <f>COUNTIFS('Task Sprint 4'!$E$5:$E$39,$A7,'Task Sprint 4'!$K$5:$K$39,"To Do")</f>
        <v/>
      </c>
      <c r="E7" s="11">
        <f>COUNTIFS('Task Sprint 4'!$E$5:$E$39,$A7,'Task Sprint 4'!$K$5:$K$39,"In Progress")</f>
        <v/>
      </c>
      <c r="F7" s="11">
        <f>COUNTIFS('Task Sprint 4'!$E$5:$E$39,$A7,'Task Sprint 4'!$K$5:$K$39,"Review")</f>
        <v/>
      </c>
      <c r="G7" s="11">
        <f>COUNTIFS('Task Sprint 4'!$E$5:$E$39,$A7,'Task Sprint 4'!$K$5:$K$39,"Done")</f>
        <v/>
      </c>
      <c r="H7" s="12">
        <f>IF(C7=0,0,G7/C7)</f>
        <v/>
      </c>
    </row>
    <row r="8" ht="13.5" customFormat="1" customHeight="1" s="2">
      <c r="A8" s="13" t="inlineStr">
        <is>
          <t>Tổng</t>
        </is>
      </c>
      <c r="C8" s="1">
        <f>SUM(C4:C7)</f>
        <v/>
      </c>
      <c r="D8" s="1">
        <f>SUM(D4:D7)</f>
        <v/>
      </c>
      <c r="E8" s="1">
        <f>SUM(E4:E7)</f>
        <v/>
      </c>
      <c r="F8" s="1">
        <f>SUM(F4:F7)</f>
        <v/>
      </c>
      <c r="G8" s="1">
        <f>SUM(G4:G7)</f>
        <v/>
      </c>
      <c r="H8" s="14">
        <f>IF(C8=0,0,G8/C8)</f>
        <v/>
      </c>
    </row>
    <row r="10" ht="13.5" customFormat="1" customHeight="1" s="2">
      <c r="A10" s="13" t="inlineStr">
        <is>
          <t>Demo main flow Sprint 4 (Review 4 – cuối kỳ):</t>
        </is>
      </c>
    </row>
    <row r="11" ht="13.5" customFormat="1" customHeight="1" s="2">
      <c r="A11" s="1" t="inlineStr">
        <is>
          <t>1. Hội viên mở trang Huấn luyện viên → lọc bộ môn → xem hồ sơ HLV, lớp đang mở, đánh giá → bấm liên hệ (mail / gọi / Zalo) → đăng ký khoá của HLV</t>
        </is>
      </c>
    </row>
    <row r="12" ht="13.5" customFormat="1" customHeight="1" s="2">
      <c r="A12" s="1" t="inlineStr">
        <is>
          <t>2. Hội viên cập nhật hồ sơ tập luyện (mục tiêu, trình độ, sức khoẻ); HLV mở danh sách học viên → xem hồ sơ; HLV khác mở cùng hội viên → bị chặn</t>
        </is>
      </c>
    </row>
    <row r="13" ht="13.5" customFormat="1" customHeight="1" s="2">
      <c r="A13" s="1" t="inlineStr">
        <is>
          <t>3. Lớp có buổi cuối đã qua → job chuyển COMPLETED → HLV nhận thông báo → lập tổng kết (chuyên cần tự tính, Đạt/Chưa đạt, nhận xét) → công bố</t>
        </is>
      </c>
    </row>
    <row r="14" ht="13.5" customFormat="1" customHeight="1" s="2">
      <c r="A14" s="1" t="inlineStr">
        <is>
          <t>4. Hội viên nhận thông báo → xem kết quả khoá, tải phiếu tổng kết PDF → đánh giá khoá và HLV → điểm TB hiện trên hồ sơ HLV</t>
        </is>
      </c>
    </row>
    <row r="15" ht="13.5" customFormat="1" customHeight="1" s="2">
      <c r="A15" s="1" t="inlineStr">
        <is>
          <t>5. Quản lý mở lại một tổng kết có lý do → HLV sửa, công bố lại; tab Tổng kết khoá: % Đạt, chuyên cần TB, khoá chưa nộp</t>
        </is>
      </c>
    </row>
    <row r="16" ht="13.5" customFormat="1" customHeight="1" s="2">
      <c r="A16" s="1" t="inlineStr">
        <is>
          <t>6. Báo cáo doanh thu theo tháng/quý/năm, so sánh kỳ trước, cơ cấu gói tự tập / khoá học / chênh lệch, top lớp; báo cáo hội viên và đăng ký theo thời gian; xuất Excel/PDF</t>
        </is>
      </c>
    </row>
    <row r="17">
      <c r="A17" s="1" t="n"/>
    </row>
    <row r="18"/>
    <row r="19"/>
  </sheetData>
  <pageMargins left="0.75" right="0.75" top="1" bottom="1" header="0.511811023622047" footer="0.511811023622047"/>
  <pageSetup orientation="portrait" paperSize="9"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F15"/>
  <sheetViews>
    <sheetView view="normal" zoomScale="100" zoomScaleNormal="100" workbookViewId="0">
      <selection activeCell="A1" sqref="A1"/>
    </sheetView>
  </sheetViews>
  <sheetFormatPr baseColWidth="8" defaultColWidth="8.6171875" defaultRowHeight="15" outlineLevelRow="0"/>
  <cols>
    <col width="9" customWidth="1" style="1" min="1" max="1"/>
    <col width="7" customWidth="1" style="1" min="2" max="2"/>
    <col width="70" customWidth="1" style="1" min="3" max="3"/>
    <col width="18" customWidth="1" style="1" min="4" max="4"/>
    <col width="12" customWidth="1" style="1" min="5" max="5"/>
    <col width="50" customWidth="1" style="1" min="6" max="6"/>
  </cols>
  <sheetData>
    <row r="1" ht="17.25" customFormat="1" customHeight="1" s="2">
      <c r="A1" s="3" t="inlineStr">
        <is>
          <t>PHẠM VI KHÔNG LÀM Ở SPRINT 4 (CHỐT 26/10/2026) – GIỮ LẠI ĐỂ TRUY VẾT, KHÔNG TÍNH VÀO TỔNG HỢP</t>
        </is>
      </c>
    </row>
    <row r="2" ht="15" customFormat="1" customHeight="1" s="2">
      <c r="A2" s="4" t="inlineStr">
        <is>
          <t>Các function này vẫn nằm trong tab Phân chia UC với trạng thái "Huỷ". Phần "đánh giá tiến độ, nhận xét học viên" của Coach được đáp ứng bằng tổng kết khoá học (#116–117).</t>
        </is>
      </c>
    </row>
    <row r="3">
      <c r="A3" t="inlineStr">
        <is>
          <t>#</t>
        </is>
      </c>
      <c r="B3" t="inlineStr">
        <is>
          <t>Nhóm</t>
        </is>
      </c>
      <c r="C3" t="inlineStr">
        <is>
          <t>Function</t>
        </is>
      </c>
      <c r="D3" t="inlineStr">
        <is>
          <t>Người làm (cũ)</t>
        </is>
      </c>
      <c r="E3" t="inlineStr">
        <is>
          <t>Trạng thái</t>
        </is>
      </c>
      <c r="F3" t="inlineStr">
        <is>
          <t>Lý do</t>
        </is>
      </c>
    </row>
    <row r="4" ht="15" customFormat="1" customHeight="1" s="2">
      <c r="A4" s="5" t="n">
        <v>65</v>
      </c>
      <c r="B4" s="5" t="inlineStr">
        <is>
          <t>Training</t>
        </is>
      </c>
      <c r="C4" s="5" t="inlineStr">
        <is>
          <t>Tạo / sửa kế hoạch tập luyện (UC-TR-01)</t>
        </is>
      </c>
      <c r="D4" s="5" t="inlineStr">
        <is>
          <t>Bảo / Khôi</t>
        </is>
      </c>
      <c r="E4" s="5" t="inlineStr">
        <is>
          <t>Huỷ</t>
        </is>
      </c>
      <c r="F4" s="5" t="inlineStr">
        <is>
          <t>Ngoài phạm vi Sprint 4; code training cũ (nhánh khoi) không còn trên remote</t>
        </is>
      </c>
    </row>
    <row r="5" ht="15" customFormat="1" customHeight="1" s="2">
      <c r="A5" s="5" t="n">
        <v>66</v>
      </c>
      <c r="B5" s="5" t="inlineStr">
        <is>
          <t>Training</t>
        </is>
      </c>
      <c r="C5" s="5" t="inlineStr">
        <is>
          <t>Ghi kết quả buổi tập (UC-TR-02)</t>
        </is>
      </c>
      <c r="D5" s="5" t="inlineStr">
        <is>
          <t>Bảo / Khôi</t>
        </is>
      </c>
      <c r="E5" s="5" t="inlineStr">
        <is>
          <t>Huỷ</t>
        </is>
      </c>
      <c r="F5" s="5" t="inlineStr">
        <is>
          <t>Ngoài phạm vi Sprint 4; code training cũ (nhánh khoi) không còn trên remote</t>
        </is>
      </c>
    </row>
    <row r="6" ht="15" customFormat="1" customHeight="1" s="2">
      <c r="A6" s="5" t="n">
        <v>67</v>
      </c>
      <c r="B6" s="5" t="inlineStr">
        <is>
          <t>Training</t>
        </is>
      </c>
      <c r="C6" s="5" t="inlineStr">
        <is>
          <t>Xem kế hoạch và nhận xét (UC-TR-03)</t>
        </is>
      </c>
      <c r="D6" s="5" t="inlineStr">
        <is>
          <t>Bảo / Khôi</t>
        </is>
      </c>
      <c r="E6" s="5" t="inlineStr">
        <is>
          <t>Huỷ</t>
        </is>
      </c>
      <c r="F6" s="5" t="inlineStr">
        <is>
          <t>Ngoài phạm vi Sprint 4; code training cũ (nhánh khoi) không còn trên remote</t>
        </is>
      </c>
    </row>
    <row r="7" ht="15" customFormat="1" customHeight="1" s="2">
      <c r="A7" s="5" t="n">
        <v>68</v>
      </c>
      <c r="B7" s="5" t="inlineStr">
        <is>
          <t>Training</t>
        </is>
      </c>
      <c r="C7" s="5" t="inlineStr">
        <is>
          <t>Đánh dấu hoàn thành bài tập (UC-TR-03)</t>
        </is>
      </c>
      <c r="D7" s="5" t="inlineStr">
        <is>
          <t>Bảo / Khôi</t>
        </is>
      </c>
      <c r="E7" s="5" t="inlineStr">
        <is>
          <t>Huỷ</t>
        </is>
      </c>
      <c r="F7" s="5" t="inlineStr">
        <is>
          <t>Ngoài phạm vi Sprint 4; code training cũ (nhánh khoi) không còn trên remote</t>
        </is>
      </c>
    </row>
    <row r="8" ht="15" customFormat="1" customHeight="1" s="2">
      <c r="A8" s="5" t="n">
        <v>69</v>
      </c>
      <c r="B8" s="5" t="inlineStr">
        <is>
          <t>Training</t>
        </is>
      </c>
      <c r="C8" s="5" t="inlineStr">
        <is>
          <t>Gửi bài tập / thông báo cho học viên (UC-TR-04)</t>
        </is>
      </c>
      <c r="D8" s="5" t="inlineStr">
        <is>
          <t>Bảo / Khôi</t>
        </is>
      </c>
      <c r="E8" s="5" t="inlineStr">
        <is>
          <t>Huỷ</t>
        </is>
      </c>
      <c r="F8" s="5" t="inlineStr">
        <is>
          <t>Ngoài phạm vi Sprint 4; code training cũ (nhánh khoi) không còn trên remote</t>
        </is>
      </c>
    </row>
    <row r="9" ht="15" customFormat="1" customHeight="1" s="2">
      <c r="A9" s="5" t="n">
        <v>70</v>
      </c>
      <c r="B9" s="5" t="inlineStr">
        <is>
          <t>AI</t>
        </is>
      </c>
      <c r="C9" s="5" t="inlineStr">
        <is>
          <t>AI sinh bản nháp bài tập (UC-AI-01)</t>
        </is>
      </c>
      <c r="D9" s="5" t="inlineStr">
        <is>
          <t>Nhanh / Khôi</t>
        </is>
      </c>
      <c r="E9" s="5" t="inlineStr">
        <is>
          <t>Huỷ</t>
        </is>
      </c>
      <c r="F9" s="5" t="inlineStr">
        <is>
          <t>Nhóm không làm AI</t>
        </is>
      </c>
    </row>
    <row r="10">
      <c r="A10" s="5" t="n">
        <v>71</v>
      </c>
      <c r="B10" s="5" t="inlineStr">
        <is>
          <t>AI</t>
        </is>
      </c>
      <c r="C10" s="5" t="inlineStr">
        <is>
          <t>Sửa / duyệt bản nháp AI (UC-AI-01)</t>
        </is>
      </c>
      <c r="D10" s="5" t="inlineStr">
        <is>
          <t>Nhanh / Khôi</t>
        </is>
      </c>
      <c r="E10" s="5" t="inlineStr">
        <is>
          <t>Huỷ</t>
        </is>
      </c>
      <c r="F10" s="5" t="inlineStr">
        <is>
          <t>Nhóm không làm AI</t>
        </is>
      </c>
    </row>
    <row r="11">
      <c r="A11" s="5" t="n">
        <v>72</v>
      </c>
      <c r="B11" s="5" t="inlineStr">
        <is>
          <t>AI</t>
        </is>
      </c>
      <c r="C11" s="5" t="inlineStr">
        <is>
          <t>AI đánh giá tiến độ học viên (UC-AI-02)</t>
        </is>
      </c>
      <c r="D11" s="5" t="inlineStr">
        <is>
          <t>Nhanh / Khôi</t>
        </is>
      </c>
      <c r="E11" s="5" t="inlineStr">
        <is>
          <t>Huỷ</t>
        </is>
      </c>
      <c r="F11" s="5" t="inlineStr">
        <is>
          <t>Nhóm không làm AI</t>
        </is>
      </c>
    </row>
    <row r="12">
      <c r="A12" s="5" t="n">
        <v>73</v>
      </c>
      <c r="B12" s="5" t="inlineStr">
        <is>
          <t>AI</t>
        </is>
      </c>
      <c r="C12" s="5" t="inlineStr">
        <is>
          <t>Quản lý nhà cung cấp và model AI (UC-AI-04)</t>
        </is>
      </c>
      <c r="D12" s="5" t="inlineStr">
        <is>
          <t>Nhanh / Khôi</t>
        </is>
      </c>
      <c r="E12" s="5" t="inlineStr">
        <is>
          <t>Huỷ</t>
        </is>
      </c>
      <c r="F12" s="5" t="inlineStr">
        <is>
          <t>Nhóm không làm AI</t>
        </is>
      </c>
    </row>
    <row r="13">
      <c r="A13" s="5" t="n">
        <v>74</v>
      </c>
      <c r="B13" s="5" t="inlineStr">
        <is>
          <t>AI</t>
        </is>
      </c>
      <c r="C13" s="5" t="inlineStr">
        <is>
          <t>Gán model và prompt cho tính năng (UC-AI-05)</t>
        </is>
      </c>
      <c r="D13" s="5" t="inlineStr">
        <is>
          <t>Nhanh / Khôi</t>
        </is>
      </c>
      <c r="E13" s="5" t="inlineStr">
        <is>
          <t>Huỷ</t>
        </is>
      </c>
      <c r="F13" s="5" t="inlineStr">
        <is>
          <t>Nhóm không làm AI</t>
        </is>
      </c>
    </row>
    <row r="14">
      <c r="A14" s="5" t="n">
        <v>75</v>
      </c>
      <c r="B14" s="5" t="inlineStr">
        <is>
          <t>AI</t>
        </is>
      </c>
      <c r="C14" s="5" t="inlineStr">
        <is>
          <t>Trợ lý hỏi đáp cho hội viên (UC-AI-03)</t>
        </is>
      </c>
      <c r="D14" s="5" t="inlineStr">
        <is>
          <t>Nhanh / Khôi</t>
        </is>
      </c>
      <c r="E14" s="5" t="inlineStr">
        <is>
          <t>Huỷ</t>
        </is>
      </c>
      <c r="F14" s="5" t="inlineStr">
        <is>
          <t>Nhóm không làm AI</t>
        </is>
      </c>
    </row>
    <row r="15">
      <c r="A15" s="5" t="n">
        <v>76</v>
      </c>
      <c r="B15" s="5" t="inlineStr">
        <is>
          <t>AI</t>
        </is>
      </c>
      <c r="C15" s="5" t="inlineStr">
        <is>
          <t>Nhật ký và chi phí AI (UC-AI-06)</t>
        </is>
      </c>
      <c r="D15" s="5" t="inlineStr">
        <is>
          <t>Nhanh / Khôi</t>
        </is>
      </c>
      <c r="E15" s="5" t="inlineStr">
        <is>
          <t>Huỷ</t>
        </is>
      </c>
      <c r="F15" s="5" t="inlineStr">
        <is>
          <t>Nhóm không làm AI</t>
        </is>
      </c>
    </row>
  </sheetData>
  <pageMargins left="0.75" right="0.75" top="1" bottom="1" header="0.511811023622047" footer="0.511811023622047"/>
  <pageSetup orientation="portrait" paperSize="9"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2026-09-29T03:10:53Z</dcterms:created>
  <dcterms:modified xsi:type="dcterms:W3CDTF">2026-10-26T04:13:33Z</dcterms:modified>
  <cp:lastModifiedBy>86 LĐN</cp:lastModifiedBy>
</cp:coreProperties>
</file>