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Task Sprint 4" state="visible" r:id="rId4"/>
    <sheet sheetId="2" name="Tổng hợp" state="visible" r:id="rId5"/>
    <sheet sheetId="3" name="Không làm" state="visible" r:id="rId6"/>
  </sheets>
  <definedNames>
    <definedName name="_xlnm._FilterDatabase">'Task Sprint 4'!$A$4:$L$39</definedName>
  </definedNames>
  <calcPr calcId="171027" fullCalcOnLoad="1"/>
</workbook>
</file>

<file path=xl/sharedStrings.xml><?xml version="1.0" encoding="utf-8"?>
<sst xmlns="http://schemas.openxmlformats.org/spreadsheetml/2006/main" count="527" uniqueCount="224">
  <si>
    <t>SWP391 – TASK SHEET SPRINT 4 (03/11 → 16/11) – Tổng kết khoá học, hồ sơ HLV/hội viên, báo cáo doanh thu theo thời gian</t>
  </si>
  <si>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</si>
  <si>
    <t>Task ID</t>
  </si>
  <si>
    <t>US</t>
  </si>
  <si>
    <t>Function / Screen</t>
  </si>
  <si>
    <t>Loại</t>
  </si>
  <si>
    <t>Người làm</t>
  </si>
  <si>
    <t>Level</t>
  </si>
  <si>
    <t>Business Rule</t>
  </si>
  <si>
    <t>Nhánh</t>
  </si>
  <si>
    <t>Bắt đầu</t>
  </si>
  <si>
    <t>Hạn</t>
  </si>
  <si>
    <t>Trạng thái</t>
  </si>
  <si>
    <t>Ghi chú</t>
  </si>
  <si>
    <t>S4-00</t>
  </si>
  <si>
    <t>Nền dữ liệu</t>
  </si>
  <si>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</si>
  <si>
    <t>BE</t>
  </si>
  <si>
    <t>Bảo</t>
  </si>
  <si>
    <t>Medium</t>
  </si>
  <si>
    <t>Chỉ Nhanh sửa schema.prisma và tạo migration; ai cần thêm cột nhắn Nhanh. Chạy thử trên DB tạm trước, test cũ phải pass.</t>
  </si>
  <si>
    <t>sprint-4/be-bao</t>
  </si>
  <si>
    <t>03/11/2026</t>
  </si>
  <si>
    <t>04/11/2026</t>
  </si>
  <si>
    <t>Review</t>
  </si>
  <si>
    <t>Làm đầu tiên — mọi người rebase sau khi merge. Bảo, Khôi, Khải đọc và đồng ý contract trước 04/11. · Chuyển từ Nhanh sang Bảo theo phân công 29/10/2026.</t>
  </si>
  <si>
    <t>S4-01</t>
  </si>
  <si>
    <t>UC-UM-22</t>
  </si>
  <si>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</si>
  <si>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Khôi</t>
  </si>
  <si>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</si>
  <si>
    <t>sprint-4/fe-khoi</t>
  </si>
  <si>
    <t>07/11/2026</t>
  </si>
  <si>
    <t>GET/PUT /me/coach-profile, tải ảnh đại diện · Khôi hoàn thiện hồ sơ BE/FE và kiểm thử ngày 29/10/2026; bàn giao tại docs/handover/sprint-4-fe-khoi.md.</t>
  </si>
  <si>
    <t>S4-02</t>
  </si>
  <si>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</si>
  <si>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FE</t>
  </si>
  <si>
    <t>05/11/2026</t>
  </si>
  <si>
    <t>08/11/2026</t>
  </si>
  <si>
    <t>Tab "Hồ sơ HLV" trong trang Hồ sơ (chỉ hiện khi có quyền) · Khôi hoàn thiện hồ sơ BE/FE và kiểm thử ngày 29/10/2026; bàn giao tại docs/handover/sprint-4-fe-khoi.md.</t>
  </si>
  <si>
    <t>S4-03</t>
  </si>
  <si>
    <t>UC-UM-23</t>
  </si>
  <si>
    <t>BE – Danh sách HLV cho hội viên (màn S34 mới): hội viên xem các HLV đang hoạt động dạng thẻ (ảnh, tên, chuyên môn, số lớp đang mở, điểm đánh giá trung bình), lọc theo bộ môn, tìm theo tên.</t>
  </si>
  <si>
    <t>Simple</t>
  </si>
  <si>
    <t>BR-S4-02: chỉ hiện tài khoản có quyền dạy lớp, trạng thái ACTIVE và có ít nhất một chuyên môn. Không lộ thông tin nội bộ (role, ngày tạo, trạng thái khoá).</t>
  </si>
  <si>
    <t>GET /coaches?subjectId=&amp;q= · Khôi hoàn thiện hồ sơ BE/FE và kiểm thử ngày 29/10/2026; bàn giao tại docs/handover/sprint-4-fe-khoi.md.</t>
  </si>
  <si>
    <t>S4-04</t>
  </si>
  <si>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</si>
  <si>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BR-S4-01: chỉ hiện liên hệ khi HLV bật công tắc. BR-S4-11: nhận xét đánh giá hiển thị ẩn danh (chỉ tên viết tắt). HLV đã nghỉ (LOCKED) → 404 với hội viên.</t>
  </si>
  <si>
    <t>GET /coaches/:id (lớp đang mở, điểm TB lấy từ bảng course_ratings của Bảo) · Khôi hoàn thiện hồ sơ BE/FE và kiểm thử ngày 29/10/2026; bàn giao tại docs/handover/sprint-4-fe-khoi.md.</t>
  </si>
  <si>
    <t>S4-05</t>
  </si>
  <si>
    <t>FE – Danh sách HLV cho hội viên (màn S34 mới): hội viên xem các HLV đang hoạt động dạng thẻ (ảnh, tên, chuyên môn, số lớp đang mở, điểm đánh giá trung bình), lọc theo bộ môn, tìm theo tên.</t>
  </si>
  <si>
    <t>06/11/2026</t>
  </si>
  <si>
    <t>09/11/2026</t>
  </si>
  <si>
    <t>Trang "Huấn luyện viên" (S34), đăng ký ở routeRegistry · Khôi hoàn thiện hồ sơ BE/FE và kiểm thử ngày 29/10/2026; bàn giao tại docs/handover/sprint-4-fe-khoi.md.</t>
  </si>
  <si>
    <t>S4-06</t>
  </si>
  <si>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</si>
  <si>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10/11/2026</t>
  </si>
  <si>
    <t>Trang hồ sơ HLV (S35) + link từ thẻ/chi tiết lớp · Khôi hoàn thiện hồ sơ BE/FE và kiểm thử ngày 29/10/2026; bàn giao tại docs/handover/sprint-4-fe-khoi.md.</t>
  </si>
  <si>
    <t>S4-07</t>
  </si>
  <si>
    <t>UC-UM-24</t>
  </si>
  <si>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</si>
  <si>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</si>
  <si>
    <t>GET/PUT /me/member-profile; lễ tân sửa hộ qua /members/:id/profile · Khôi hoàn thiện hồ sơ BE/FE và kiểm thử ngày 29/10/2026; bàn giao tại docs/handover/sprint-4-fe-khoi.md.</t>
  </si>
  <si>
    <t>S4-08</t>
  </si>
  <si>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</si>
  <si>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Mục "Hồ sơ tập luyện" trong Hồ sơ + màn S22 · Khôi hoàn thiện hồ sơ BE/FE và kiểm thử ngày 29/10/2026; bàn giao tại docs/handover/sprint-4-fe-khoi.md.</t>
  </si>
  <si>
    <t>S4-09</t>
  </si>
  <si>
    <t>UC-UM-25</t>
  </si>
  <si>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</si>
  <si>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</si>
  <si>
    <t>GET /coach/members, GET /coach/members/:id — test 403 ngoài phạm vi · Khôi hoàn thiện hồ sơ BE/FE và kiểm thử ngày 29/10/2026; bàn giao tại docs/handover/sprint-4-fe-khoi.md.</t>
  </si>
  <si>
    <t>S4-10</t>
  </si>
  <si>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</si>
  <si>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12/11/2026</t>
  </si>
  <si>
    <t>Màn "Học viên của tôi" + drawer hồ sơ học viên từ danh sách lớp / điểm danh · Khôi hoàn thiện hồ sơ BE/FE và kiểm thử ngày 29/10/2026; bàn giao tại docs/handover/sprint-4-fe-khoi.md.</t>
  </si>
  <si>
    <t>S4-11</t>
  </si>
  <si>
    <t>UC-TR-05</t>
  </si>
  <si>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</si>
  <si>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</si>
  <si>
    <t>Job đăng ký cùng chỗ với các job hiện có (freeze-resume, nhắc gia hạn)</t>
  </si>
  <si>
    <t>S4-12</t>
  </si>
  <si>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</si>
  <si>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Complex</t>
  </si>
  <si>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</si>
  <si>
    <t>GET /classes/:id/summary, PUT /classes/:id/summary/items/:itemId</t>
  </si>
  <si>
    <t>S4-13</t>
  </si>
  <si>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</si>
  <si>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Khải</t>
  </si>
  <si>
    <t>sprint-4/fe-khai</t>
  </si>
  <si>
    <t>Màn S37, làm theo contract trước, giả lập dữ liệu nếu BE chưa xong · Khải hoàn thiện 29/10/2026 trên sprint-4/fe-khai; bàn giao docs/handover/sprint-4-fe-khai.md. Đã xác minh 238 BE, 160 FE và đủ 86 E2E desktop sau chạy lại; 15 test case bổ sung, chờ leader review.</t>
  </si>
  <si>
    <t>S4-14</t>
  </si>
  <si>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</si>
  <si>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</si>
  <si>
    <t>POST /classes/:id/summary/publish, POST /classes/:id/summary/reopen</t>
  </si>
  <si>
    <t>S4-15</t>
  </si>
  <si>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</si>
  <si>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11/11/2026</t>
  </si>
  <si>
    <t>Nút Công bố + hộp xác nhận cảnh báo buổi chưa điểm danh; nút Mở lại cho quản lý · Khải hoàn thiện 29/10/2026 trên sprint-4/fe-khai; bàn giao docs/handover/sprint-4-fe-khai.md. Đã xác minh 238 BE, 160 FE và đủ 86 E2E desktop sau chạy lại; 15 test case bổ sung, chờ leader review.</t>
  </si>
  <si>
    <t>S4-16</t>
  </si>
  <si>
    <t>UC-TR-06</t>
  </si>
  <si>
    <t>BE – Hội viên xem kết quả khoá học (màn S38 mới, trong Hồ sơ → "Khoá học đã hoàn thành"): danh sách khoá đã kết thúc, chuyên cần, kết quả, mức tiến bộ, nhận xét của HLV, gợi ý khoá tiếp; tải "Phiếu tổng kết khoá học" PDF.</t>
  </si>
  <si>
    <t>Chỉ thấy tổng kết đã công bố của chính mình. PDF dùng lại khung mẫu hoá đơn PDF (UC-PAY-07): logo, thông tin trung tâm, khoá, HLV, chuyên cần, kết quả, nhận xét, mã tra cứu.</t>
  </si>
  <si>
    <t>GET /me/course-results, GET /me/course-results/:id/pdf</t>
  </si>
  <si>
    <t>S4-17</t>
  </si>
  <si>
    <t>FE – Hội viên xem kết quả khoá học (màn S38 mới, trong Hồ sơ → "Khoá học đã hoàn thành"): danh sách khoá đã kết thúc, chuyên cần, kết quả, mức tiến bộ, nhận xét của HLV, gợi ý khoá tiếp; tải "Phiếu tổng kết khoá học" PDF.</t>
  </si>
  <si>
    <t>Mục "Khoá học đã hoàn thành" trong Hồ sơ (S38) · Khải hoàn thiện 29/10/2026 trên sprint-4/fe-khai; bàn giao docs/handover/sprint-4-fe-khai.md. Đã xác minh 238 BE, 160 FE và đủ 86 E2E desktop sau chạy lại; 15 test case bổ sung, chờ leader review.</t>
  </si>
  <si>
    <t>S4-18</t>
  </si>
  <si>
    <t>UC-TR-07</t>
  </si>
  <si>
    <t>BE – Hội viên đánh giá khoá học và HLV: sau khi khoá kết thúc, hội viên chấm 1–5 sao cho khoá và cho HLV kèm nhận xét; sửa được trong thời hạn. Điểm trung bình hiện ở hồ sơ HLV (UC-UM-23) và báo cáo tổng kết khoá (UC-RPT-03).</t>
  </si>
  <si>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</si>
  <si>
    <t>POST/PUT /classes/:id/ratings, GET /coaches/:id/ratings</t>
  </si>
  <si>
    <t>S4-19</t>
  </si>
  <si>
    <t>FE – Hội viên đánh giá khoá học và HLV: sau khi khoá kết thúc, hội viên chấm 1–5 sao cho khoá và cho HLV kèm nhận xét; sửa được trong thời hạn. Điểm trung bình hiện ở hồ sơ HLV (UC-UM-23) và báo cáo tổng kết khoá (UC-RPT-03).</t>
  </si>
  <si>
    <t>13/11/2026</t>
  </si>
  <si>
    <t>Form đánh giá trong S38; khối đánh giá trên hồ sơ HLV phối hợp với Khôi · Khải hoàn thiện 29/10/2026 trên sprint-4/fe-khai; bàn giao docs/handover/sprint-4-fe-khai.md. Đã xác minh 238 BE, 160 FE và đủ 86 E2E desktop sau chạy lại; 15 test case bổ sung, chờ leader review.</t>
  </si>
  <si>
    <t>S4-20</t>
  </si>
  <si>
    <t>UC-RPT-03</t>
  </si>
  <si>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</si>
  <si>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Quyền COURSE_SUMMARY_VIEW_ALL (report.view không đủ). Khoảng thời gian tối đa theo REPORT_MAX_DAYS hiện có. Số liệu từ cùng một truy vấn cho màn hình và file xuất.</t>
  </si>
  <si>
    <t>GET /reports/course-summaries + xuất Excel</t>
  </si>
  <si>
    <t>S4-21</t>
  </si>
  <si>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</si>
  <si>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14/11/2026</t>
  </si>
  <si>
    <t>Tab "Tổng kết khoá" trong trang Báo cáo · Khải hoàn thiện 29/10/2026 trên sprint-4/fe-khai; bàn giao docs/handover/sprint-4-fe-khai.md. Đã xác minh 238 BE, 160 FE và đủ 86 E2E desktop sau chạy lại; 15 test case bổ sung, chờ leader review.</t>
  </si>
  <si>
    <t>S4-22</t>
  </si>
  <si>
    <t>UC-RPT-02</t>
  </si>
  <si>
    <t>BE – Doanh thu theo thời gian (màn 17 mở rộng): chọn nhóm theo ngày / tuần / tháng / quý / năm và khoảng nhanh (hôm nay, 7 ngày, tháng này, quý này, năm nay, tuỳ chọn); biểu đồ cột thu – hoàn – thuần theo từng kỳ, bảng số liệu bên dưới.</t>
  </si>
  <si>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</si>
  <si>
    <t>Tham số groupBy=day|week|month|quarter|year; hàm chia kỳ dùng chung cho #123 · Chuyển từ Nhanh sang Bảo theo phân công 29/10/2026.</t>
  </si>
  <si>
    <t>S4-23</t>
  </si>
  <si>
    <t>FE – Doanh thu theo thời gian (màn 17 mở rộng): chọn nhóm theo ngày / tuần / tháng / quý / năm và khoảng nhanh (hôm nay, 7 ngày, tháng này, quý này, năm nay, tuỳ chọn); biểu đồ cột thu – hoàn – thuần theo từng kỳ, bảng số liệu bên dưới.</t>
  </si>
  <si>
    <t>Bộ chọn nhóm + khoảng nhanh, biểu đồ cột · Chuyển từ Nhanh sang Bảo theo phân công 29/10/2026.</t>
  </si>
  <si>
    <t>S4-24</t>
  </si>
  <si>
    <t>BE – So sánh kỳ trước và cơ cấu doanh thu: % tăng/giảm so với khoảng liền trước cùng độ dài; tách doanh thu theo loại (gói tự tập / khoá học / chênh lệch đổi), theo kênh (online / tại quầy); top gói tự tập, top lớp và theo bộ môn.</t>
  </si>
  <si>
    <t>BR-S4-13: kỳ trước bằng 0 thì hiện "—" thay vì vô cực. BR-S4-15: tổng các phần cơ cấu phải bằng doanh thu thuần của kỳ (có test BE). Hoá đơn ADJUSTMENT tính vào nhóm "chênh lệch", không cộng vào gói/khoá gốc.</t>
  </si>
  <si>
    <t>compare=previous, breakdown theo loại hoá đơn/kênh/gói/lớp/bộ môn · Chuyển từ Nhanh sang Bảo theo phân công 29/10/2026.</t>
  </si>
  <si>
    <t>S4-25</t>
  </si>
  <si>
    <t>FE – So sánh kỳ trước và cơ cấu doanh thu: % tăng/giảm so với khoảng liền trước cùng độ dài; tách doanh thu theo loại (gói tự tập / khoá học / chênh lệch đổi), theo kênh (online / tại quầy); top gói tự tập, top lớp và theo bộ môn.</t>
  </si>
  <si>
    <t>Thẻ KPI có % so với kỳ trước, biểu đồ cơ cấu, bảng top · Chuyển từ Nhanh sang Bảo theo phân công 29/10/2026.</t>
  </si>
  <si>
    <t>S4-26</t>
  </si>
  <si>
    <t>UC-RPT-04</t>
  </si>
  <si>
    <t>BE – Báo cáo hội viên và đăng ký theo thời gian (màn 17, tab mới): theo cùng nhóm ngày/tuần/tháng/quý/năm — số hội viên mới, kỳ gói đang hiệu lực, đăng ký khoá học mới, số huỷ gói/huỷ khoá, tỉ lệ lấp đầy lớp.</t>
  </si>
  <si>
    <t>Đáp ứng yêu cầu đề tài "báo cáo số lượng thành viên, tình trạng đăng ký lớp và doanh thu theo thời gian". Dùng chung bộ lọc và hàm chia kỳ với UC-RPT-02 (không viết lại).</t>
  </si>
  <si>
    <t>Tách file report-member.service.js, dùng hàm chia kỳ của S4-22</t>
  </si>
  <si>
    <t>S4-27</t>
  </si>
  <si>
    <t>FE – Báo cáo hội viên và đăng ký theo thời gian (màn 17, tab mới): theo cùng nhóm ngày/tuần/tháng/quý/năm — số hội viên mới, kỳ gói đang hiệu lực, đăng ký khoá học mới, số huỷ gói/huỷ khoá, tỉ lệ lấp đầy lớp.</t>
  </si>
  <si>
    <t>Tab "Hội viên &amp; đăng ký" trong Báo cáo · Chuyển từ Nhanh sang Bảo theo phân công 29/10/2026.</t>
  </si>
  <si>
    <t>S4-28</t>
  </si>
  <si>
    <t>UC-RPT-01</t>
  </si>
  <si>
    <t>BE – Xuất báo cáo theo nhóm thời gian (sửa UC-RPT-01): PDF/CSV/Excel giữ đúng nhóm kỳ, phần so sánh kỳ trước và cơ cấu doanh thu như trên màn hình.</t>
  </si>
  <si>
    <t>Cùng dữ liệu và công thức với dashboard (một hàm build dùng chung, như buildRevenue hiện tại).</t>
  </si>
  <si>
    <t>Sửa report-export.service.js · Chuyển từ Nhanh sang Bảo theo phân công 29/10/2026.</t>
  </si>
  <si>
    <t>S4-29</t>
  </si>
  <si>
    <t>Kiểm thử</t>
  </si>
  <si>
    <t>Kiểm thử – E2E Playwright tổng kết khoá, đánh giá, báo cáo doanh thu theo thời gian, xuất file.</t>
  </si>
  <si>
    <t>Test</t>
  </si>
  <si>
    <t>Chạy trên npm run db:demo; E2E cũ phải pass.</t>
  </si>
  <si>
    <t>15/11/2026</t>
  </si>
  <si>
    <t>#125 · Khải hoàn thiện 29/10/2026 trên sprint-4/fe-khai; bàn giao docs/handover/sprint-4-fe-khai.md. Đã xác minh 238 BE, 160 FE và đủ 86 E2E desktop sau chạy lại; 15 test case bổ sung, chờ leader review.</t>
  </si>
  <si>
    <t>S4-30</t>
  </si>
  <si>
    <t>Kiểm thử – E2E Playwright hồ sơ HLV, hồ sơ hội viên, HLV xem hồ sơ học viên (trong và ngoài phạm vi).</t>
  </si>
  <si>
    <t>BR-S4-03: kiểm tra 403 khi HLV mở hồ sơ hội viên không học lớp mình.</t>
  </si>
  <si>
    <t>#125 · Khôi hoàn thiện hồ sơ BE/FE và kiểm thử ngày 29/10/2026; bàn giao tại docs/handover/sprint-4-fe-khoi.md.</t>
  </si>
  <si>
    <t>S4-31</t>
  </si>
  <si>
    <t>Kiểm thử – Bổ sung test case Sprint 4 vào docs/kiem-thu/SWP391_TestCase.xlsx và ghi kết quả chạy.</t>
  </si>
  <si>
    <t>—</t>
  </si>
  <si>
    <t>Khôi viết phần hồ sơ, Khải phần còn lại. #125 · Khải hoàn thiện 29/10/2026 trên sprint-4/fe-khai; bàn giao docs/handover/sprint-4-fe-khai.md. Đã xác minh 238 BE, 160 FE và đủ 86 E2E desktop sau chạy lại; 15 test case bổ sung, chờ leader review.</t>
  </si>
  <si>
    <t>S4-32</t>
  </si>
  <si>
    <t>Tài liệu</t>
  </si>
  <si>
    <t>Tài liệu – Đặc tả UC-UM-22…25, UC-TR-05…07, UC-RPT-02…04, BR-S4-01…15 vào docs/yeu-cau; ERD bổ sung.</t>
  </si>
  <si>
    <t>Docs</t>
  </si>
  <si>
    <t>#126</t>
  </si>
  <si>
    <t>S4-33</t>
  </si>
  <si>
    <t>Tài liệu – Seed demo Sprint 4: khoá đã kết thúc có/chưa có tổng kết, đánh giá, hồ sơ HLV/hội viên đầy đủ, doanh thu rải 12 tháng để xem theo tháng/quý.</t>
  </si>
  <si>
    <t>#126 · Chuyển từ Nhanh sang Bảo theo phân công 29/10/2026.</t>
  </si>
  <si>
    <t>S4-34</t>
  </si>
  <si>
    <t>Tài liệu – Kịch bản demo cuối kỳ (cập nhật LoTrinh_Demo) và diễn tập cả nhóm.</t>
  </si>
  <si>
    <t>In Progress</t>
  </si>
  <si>
    <t>#126. Khoá code 16/11. · Chuyển từ Nhanh sang Bảo theo phân công 29/10/2026. · Đã chuẩn bị kịch bản và test tự động; chờ diễn tập trực tiếp cả nhóm sau tích hợp Khôi/Khải.</t>
  </si>
  <si>
    <t>Tiến độ Sprint 4 theo thành viên</t>
  </si>
  <si>
    <t>Thành viên</t>
  </si>
  <si>
    <t>Vai</t>
  </si>
  <si>
    <t>Tổng task</t>
  </si>
  <si>
    <t>To Do</t>
  </si>
  <si>
    <t>Done</t>
  </si>
  <si>
    <t>% Done</t>
  </si>
  <si>
    <t>Nhanh</t>
  </si>
  <si>
    <t>BE · Leader (+ FE báo cáo)</t>
  </si>
  <si>
    <t>Full-stack (hồ sơ)</t>
  </si>
  <si>
    <t>Tổng</t>
  </si>
  <si>
    <t>Demo main flow Sprint 4 (Review 4 – cuối kỳ):</t>
  </si>
  <si>
    <t>1. Hội viên mở trang Huấn luyện viên → lọc bộ môn → xem hồ sơ HLV, lớp đang mở, đánh giá → bấm liên hệ (mail / gọi / Zalo) → đăng ký khoá của HLV</t>
  </si>
  <si>
    <t>2. Hội viên cập nhật hồ sơ tập luyện (mục tiêu, trình độ, sức khoẻ); HLV mở danh sách học viên → xem hồ sơ; HLV khác mở cùng hội viên → bị chặn</t>
  </si>
  <si>
    <t>3. Lớp có buổi cuối đã qua → job chuyển COMPLETED → HLV nhận thông báo → lập tổng kết (chuyên cần tự tính, Đạt/Chưa đạt, nhận xét) → công bố</t>
  </si>
  <si>
    <t>4. Hội viên nhận thông báo → xem kết quả khoá, tải phiếu tổng kết PDF → đánh giá khoá và HLV → điểm TB hiện trên hồ sơ HLV</t>
  </si>
  <si>
    <t>5. Quản lý mở lại một tổng kết có lý do → HLV sửa, công bố lại; tab Tổng kết khoá: % Đạt, chuyên cần TB, khoá chưa nộp</t>
  </si>
  <si>
    <t>6. Báo cáo doanh thu theo tháng/quý/năm, so sánh kỳ trước, cơ cấu gói tự tập / khoá học / chênh lệch, top lớp; báo cáo hội viên và đăng ký theo thời gian; xuất Excel/PDF</t>
  </si>
  <si>
    <t>PHẠM VI KHÔNG LÀM Ở SPRINT 4 (CHỐT 26/10/2026) – GIỮ LẠI ĐỂ TRUY VẾT, KHÔNG TÍNH VÀO TỔNG HỢP</t>
  </si>
  <si>
    <t>Các function này vẫn nằm trong tab Phân chia UC với trạng thái "Huỷ". Phần "đánh giá tiến độ, nhận xét học viên" của Coach được đáp ứng bằng tổng kết khoá học (#116–117).</t>
  </si>
  <si>
    <t>#</t>
  </si>
  <si>
    <t>Nhóm</t>
  </si>
  <si>
    <t>Function</t>
  </si>
  <si>
    <t>Người làm (cũ)</t>
  </si>
  <si>
    <t>Lý do</t>
  </si>
  <si>
    <t>Training</t>
  </si>
  <si>
    <t>Tạo / sửa kế hoạch tập luyện (UC-TR-01)</t>
  </si>
  <si>
    <t>Bảo / Khôi</t>
  </si>
  <si>
    <t>Huỷ</t>
  </si>
  <si>
    <t>Ngoài phạm vi Sprint 4; code training cũ (nhánh khoi) không còn trên remote</t>
  </si>
  <si>
    <t>Ghi kết quả buổi tập (UC-TR-02)</t>
  </si>
  <si>
    <t>Xem kế hoạch và nhận xét (UC-TR-03)</t>
  </si>
  <si>
    <t>Đánh dấu hoàn thành bài tập (UC-TR-03)</t>
  </si>
  <si>
    <t>Gửi bài tập / thông báo cho học viên (UC-TR-04)</t>
  </si>
  <si>
    <t>AI</t>
  </si>
  <si>
    <t>AI sinh bản nháp bài tập (UC-AI-01)</t>
  </si>
  <si>
    <t>Nhanh / Khôi</t>
  </si>
  <si>
    <t>Nhóm không làm AI</t>
  </si>
  <si>
    <t>Sửa / duyệt bản nháp AI (UC-AI-01)</t>
  </si>
  <si>
    <t>AI đánh giá tiến độ học viên (UC-AI-02)</t>
  </si>
  <si>
    <t>Quản lý nhà cung cấp và model AI (UC-AI-04)</t>
  </si>
  <si>
    <t>Gán model và prompt cho tính năng (UC-AI-05)</t>
  </si>
  <si>
    <t>Trợ lý hỏi đáp cho hội viên (UC-AI-03)</t>
  </si>
  <si>
    <t>Nhật ký và chi phí AI (UC-AI-06)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</si>
</sst>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charset val="1"/>
      <color theme="1"/>
      <family val="2"/>
      <sz val="11"/>
      <name val="Arial"/>
    </font>
    <font>
      <b/>
      <charset val="1"/>
      <color rgb="FF1F4E78"/>
      <sz val="14"/>
      <name val="Arial"/>
    </font>
    <font>
      <i/>
      <charset val="1"/>
      <color rgb="FF595959"/>
      <sz val="11"/>
      <name val="Arial"/>
    </font>
    <font>
      <b/>
      <charset val="163"/>
      <color rgb="FFFFFFFF"/>
      <family val="1"/>
      <sz val="11"/>
      <name val="Times New Roman"/>
    </font>
    <font>
      <charset val="163"/>
      <color theme="1"/>
      <family val="1"/>
      <sz val="11"/>
      <name val="Times New Roman"/>
    </font>
    <font>
      <b/>
      <charset val="1"/>
      <sz val="13"/>
      <name val="Arial"/>
    </font>
    <font>
      <b/>
      <charset val="1"/>
      <color rgb="FFFFFFFF"/>
      <sz val="11"/>
      <name val="Arial"/>
    </font>
    <font>
      <b/>
      <charset val="1"/>
      <sz val="11"/>
      <name val="Arial"/>
    </font>
  </fonts>
  <fills count="5">
    <fill>
      <patternFill patternType="none"/>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2" borderId="0" xfId="0" applyFont="1" applyFill="1" applyAlignment="1">
      <alignment vertical="bottom"/>
    </xf>
    <xf numFmtId="0" fontId="1" fillId="2" borderId="0" xfId="0" applyFont="1" applyFill="1"/>
    <xf numFmtId="0" fontId="2" fillId="2" borderId="0" xfId="0" applyFont="1" applyFill="1" applyAlignment="1">
      <alignment vertical="bottom"/>
    </xf>
    <xf numFmtId="0" fontId="3" fillId="2" borderId="0" xfId="0" applyFont="1" applyFill="1" applyAlignment="1">
      <alignment vertical="bottom"/>
    </xf>
    <xf numFmtId="0" fontId="4" fillId="3" borderId="1" xfId="0" applyFont="1" applyFill="1" applyBorder="1" applyAlignment="1">
      <alignment horizontal="center" vertical="center" wrapText="1"/>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4" borderId="1" xfId="0" applyFont="1" applyFill="1" applyBorder="1" applyAlignment="1">
      <alignment vertical="top"/>
    </xf>
    <xf numFmtId="0" fontId="6" fillId="2" borderId="0" xfId="0" applyFont="1" applyFill="1" applyAlignment="1">
      <alignment vertical="bottom"/>
    </xf>
    <xf numFmtId="0" fontId="7" fillId="3" borderId="1" xfId="0" applyFont="1" applyFill="1" applyBorder="1" applyAlignment="1">
      <alignment vertical="bottom"/>
    </xf>
    <xf numFmtId="0" fontId="1" fillId="2" borderId="1" xfId="0" applyFont="1" applyFill="1" applyBorder="1" applyAlignment="1">
      <alignment vertical="bottom"/>
    </xf>
    <xf numFmtId="9" fontId="1" fillId="2" borderId="1" xfId="0" applyNumberFormat="1" applyFont="1" applyFill="1" applyBorder="1" applyAlignment="1">
      <alignment vertical="bottom"/>
    </xf>
    <xf numFmtId="0" fontId="8" fillId="2" borderId="0" xfId="0" applyFont="1" applyFill="1" applyAlignment="1">
      <alignment vertical="bottom"/>
    </xf>
    <xf numFmtId="9" fontId="1" fillId="2" borderId="0" xfId="0" applyNumberFormat="1" applyFont="1" applyFill="1" applyAlignment="1">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L39"/>
  <sheetViews>
    <sheetView workbookViewId="0" zoomScale="55" zoomScaleNormal="55" view="normal">
      <pane xSplit="3" ySplit="4" topLeftCell="D5" activePane="bottomRight" state="frozen"/>
      <selection pane="bottomRight" activeCell="G25" sqref="G25"/>
    </sheetView>
  </sheetViews>
  <sheetFormatPr defaultRowHeight="13.5" outlineLevelRow="0" outlineLevelCol="0" x14ac:dyDescent="0" defaultColWidth="8.6171875" customHeight="1"/>
  <cols>
    <col min="1" max="1" width="9" style="1" customWidth="1"/>
    <col min="2" max="2" width="11" style="1" customWidth="1"/>
    <col min="3" max="3" width="42" style="1" customWidth="1"/>
    <col min="4" max="4" width="6" style="1" customWidth="1"/>
    <col min="5" max="5" width="11" style="1" customWidth="1"/>
    <col min="6" max="6" width="9" style="1" customWidth="1"/>
    <col min="7" max="7" width="70" style="1" customWidth="1"/>
    <col min="8" max="8" width="20" style="1" customWidth="1"/>
    <col min="9" max="10" width="11" style="1" customWidth="1"/>
    <col min="11" max="11" width="13" style="1" customWidth="1"/>
    <col min="12" max="12" width="30" style="1" customWidth="1"/>
  </cols>
  <sheetData>
    <row r="1" ht="17.25" customHeight="1" spans="1:12" s="2" customFormat="1" x14ac:dyDescent="0.25">
      <c r="A1" s="3" t="s">
        <v>0</v>
      </c>
      <c r="B1" s="1"/>
      <c r="C1" s="1"/>
      <c r="D1" s="1"/>
      <c r="E1" s="1"/>
      <c r="F1" s="1"/>
      <c r="G1" s="1"/>
      <c r="H1" s="1"/>
      <c r="I1" s="1"/>
      <c r="J1" s="1"/>
      <c r="K1" s="1"/>
      <c r="L1" s="1"/>
    </row>
    <row r="2" ht="14.25" customHeight="1" spans="1:12" s="2" customFormat="1" x14ac:dyDescent="0.25">
      <c r="A2" s="4" t="s">
        <v>1</v>
      </c>
      <c r="B2" s="1"/>
      <c r="C2" s="1"/>
      <c r="D2" s="1"/>
      <c r="E2" s="1"/>
      <c r="F2" s="1"/>
      <c r="G2" s="1"/>
      <c r="H2" s="1"/>
      <c r="I2" s="1"/>
      <c r="J2" s="1"/>
      <c r="K2" s="1"/>
      <c r="L2" s="1"/>
    </row>
    <row r="4" ht="13.5" customHeight="1" spans="1:12" s="2" customFormat="1" x14ac:dyDescent="0.25">
      <c r="A4" s="5" t="s">
        <v>2</v>
      </c>
      <c r="B4" s="5" t="s">
        <v>3</v>
      </c>
      <c r="C4" s="5" t="s">
        <v>4</v>
      </c>
      <c r="D4" s="5" t="s">
        <v>5</v>
      </c>
      <c r="E4" s="5" t="s">
        <v>6</v>
      </c>
      <c r="F4" s="5" t="s">
        <v>7</v>
      </c>
      <c r="G4" s="5" t="s">
        <v>8</v>
      </c>
      <c r="H4" s="5" t="s">
        <v>9</v>
      </c>
      <c r="I4" s="5" t="s">
        <v>10</v>
      </c>
      <c r="J4" s="5" t="s">
        <v>11</v>
      </c>
      <c r="K4" s="5" t="s">
        <v>12</v>
      </c>
      <c r="L4" s="5" t="s">
        <v>13</v>
      </c>
    </row>
    <row r="5" ht="60" customHeight="1" spans="1:12" s="2" customFormat="1" x14ac:dyDescent="0.25">
      <c r="A5" s="6" t="s">
        <v>14</v>
      </c>
      <c r="B5" s="6" t="s">
        <v>15</v>
      </c>
      <c r="C5" s="7" t="s">
        <v>16</v>
      </c>
      <c r="D5" s="8" t="s">
        <v>17</v>
      </c>
      <c r="E5" s="6" t="s">
        <v>18</v>
      </c>
      <c r="F5" s="6" t="s">
        <v>19</v>
      </c>
      <c r="G5" s="7" t="s">
        <v>20</v>
      </c>
      <c r="H5" s="6" t="s">
        <v>21</v>
      </c>
      <c r="I5" s="6" t="s">
        <v>22</v>
      </c>
      <c r="J5" s="6" t="s">
        <v>23</v>
      </c>
      <c r="K5" s="6" t="s">
        <v>24</v>
      </c>
      <c r="L5" s="7" t="s">
        <v>25</v>
      </c>
    </row>
    <row r="6" ht="60" customHeight="1" spans="1:12" s="2" customFormat="1" x14ac:dyDescent="0.25">
      <c r="A6" s="6" t="s">
        <v>26</v>
      </c>
      <c r="B6" s="6" t="s">
        <v>27</v>
      </c>
      <c r="C6" s="7" t="s">
        <v>28</v>
      </c>
      <c r="D6" s="8" t="s">
        <v>17</v>
      </c>
      <c r="E6" s="6" t="s">
        <v>29</v>
      </c>
      <c r="F6" s="6" t="s">
        <v>19</v>
      </c>
      <c r="G6" s="7" t="s">
        <v>30</v>
      </c>
      <c r="H6" s="6" t="s">
        <v>31</v>
      </c>
      <c r="I6" s="6" t="s">
        <v>23</v>
      </c>
      <c r="J6" s="6" t="s">
        <v>32</v>
      </c>
      <c r="K6" s="6" t="s">
        <v>24</v>
      </c>
      <c r="L6" s="7" t="s">
        <v>33</v>
      </c>
    </row>
    <row r="7" ht="60" customHeight="1" spans="1:12" s="2" customFormat="1" x14ac:dyDescent="0.25">
      <c r="A7" s="6" t="s">
        <v>34</v>
      </c>
      <c r="B7" s="6" t="s">
        <v>27</v>
      </c>
      <c r="C7" s="7" t="s">
        <v>35</v>
      </c>
      <c r="D7" s="8" t="s">
        <v>36</v>
      </c>
      <c r="E7" s="6" t="s">
        <v>29</v>
      </c>
      <c r="F7" s="6" t="s">
        <v>19</v>
      </c>
      <c r="G7" s="7" t="s">
        <v>30</v>
      </c>
      <c r="H7" s="6" t="s">
        <v>31</v>
      </c>
      <c r="I7" s="6" t="s">
        <v>37</v>
      </c>
      <c r="J7" s="6" t="s">
        <v>38</v>
      </c>
      <c r="K7" s="6" t="s">
        <v>24</v>
      </c>
      <c r="L7" s="7" t="s">
        <v>39</v>
      </c>
    </row>
    <row r="8" ht="60" customHeight="1" spans="1:12" s="2" customFormat="1" x14ac:dyDescent="0.25">
      <c r="A8" s="6" t="s">
        <v>40</v>
      </c>
      <c r="B8" s="6" t="s">
        <v>41</v>
      </c>
      <c r="C8" s="7" t="s">
        <v>42</v>
      </c>
      <c r="D8" s="8" t="s">
        <v>17</v>
      </c>
      <c r="E8" s="6" t="s">
        <v>29</v>
      </c>
      <c r="F8" s="6" t="s">
        <v>43</v>
      </c>
      <c r="G8" s="7" t="s">
        <v>44</v>
      </c>
      <c r="H8" s="6" t="s">
        <v>31</v>
      </c>
      <c r="I8" s="6" t="s">
        <v>23</v>
      </c>
      <c r="J8" s="6" t="s">
        <v>32</v>
      </c>
      <c r="K8" s="6" t="s">
        <v>24</v>
      </c>
      <c r="L8" s="7" t="s">
        <v>45</v>
      </c>
    </row>
    <row r="9" ht="60" customHeight="1" spans="1:12" s="2" customFormat="1" x14ac:dyDescent="0.25">
      <c r="A9" s="6" t="s">
        <v>46</v>
      </c>
      <c r="B9" s="6" t="s">
        <v>41</v>
      </c>
      <c r="C9" s="7" t="s">
        <v>47</v>
      </c>
      <c r="D9" s="8" t="s">
        <v>17</v>
      </c>
      <c r="E9" s="6" t="s">
        <v>29</v>
      </c>
      <c r="F9" s="6" t="s">
        <v>19</v>
      </c>
      <c r="G9" s="7" t="s">
        <v>48</v>
      </c>
      <c r="H9" s="6" t="s">
        <v>31</v>
      </c>
      <c r="I9" s="6" t="s">
        <v>37</v>
      </c>
      <c r="J9" s="6" t="s">
        <v>38</v>
      </c>
      <c r="K9" s="6" t="s">
        <v>24</v>
      </c>
      <c r="L9" s="7" t="s">
        <v>49</v>
      </c>
    </row>
    <row r="10" ht="60" customHeight="1" spans="1:12" s="2" customFormat="1" x14ac:dyDescent="0.25">
      <c r="A10" s="6" t="s">
        <v>50</v>
      </c>
      <c r="B10" s="6" t="s">
        <v>41</v>
      </c>
      <c r="C10" s="7" t="s">
        <v>51</v>
      </c>
      <c r="D10" s="8" t="s">
        <v>36</v>
      </c>
      <c r="E10" s="6" t="s">
        <v>29</v>
      </c>
      <c r="F10" s="6" t="s">
        <v>43</v>
      </c>
      <c r="G10" s="7" t="s">
        <v>44</v>
      </c>
      <c r="H10" s="6" t="s">
        <v>31</v>
      </c>
      <c r="I10" s="6" t="s">
        <v>52</v>
      </c>
      <c r="J10" s="6" t="s">
        <v>53</v>
      </c>
      <c r="K10" s="6" t="s">
        <v>24</v>
      </c>
      <c r="L10" s="7" t="s">
        <v>54</v>
      </c>
    </row>
    <row r="11" ht="60" customHeight="1" spans="1:12" s="2" customFormat="1" x14ac:dyDescent="0.25">
      <c r="A11" s="6" t="s">
        <v>55</v>
      </c>
      <c r="B11" s="6" t="s">
        <v>41</v>
      </c>
      <c r="C11" s="7" t="s">
        <v>56</v>
      </c>
      <c r="D11" s="8" t="s">
        <v>36</v>
      </c>
      <c r="E11" s="6" t="s">
        <v>29</v>
      </c>
      <c r="F11" s="6" t="s">
        <v>19</v>
      </c>
      <c r="G11" s="7" t="s">
        <v>48</v>
      </c>
      <c r="H11" s="6" t="s">
        <v>31</v>
      </c>
      <c r="I11" s="6" t="s">
        <v>32</v>
      </c>
      <c r="J11" s="6" t="s">
        <v>57</v>
      </c>
      <c r="K11" s="6" t="s">
        <v>24</v>
      </c>
      <c r="L11" s="7" t="s">
        <v>58</v>
      </c>
    </row>
    <row r="12" ht="60" customHeight="1" spans="1:12" s="2" customFormat="1" x14ac:dyDescent="0.25">
      <c r="A12" s="6" t="s">
        <v>59</v>
      </c>
      <c r="B12" s="6" t="s">
        <v>60</v>
      </c>
      <c r="C12" s="7" t="s">
        <v>61</v>
      </c>
      <c r="D12" s="8" t="s">
        <v>17</v>
      </c>
      <c r="E12" s="6" t="s">
        <v>29</v>
      </c>
      <c r="F12" s="6" t="s">
        <v>43</v>
      </c>
      <c r="G12" s="7" t="s">
        <v>62</v>
      </c>
      <c r="H12" s="6" t="s">
        <v>31</v>
      </c>
      <c r="I12" s="6" t="s">
        <v>37</v>
      </c>
      <c r="J12" s="6" t="s">
        <v>32</v>
      </c>
      <c r="K12" s="6" t="s">
        <v>24</v>
      </c>
      <c r="L12" s="7" t="s">
        <v>63</v>
      </c>
    </row>
    <row r="13" ht="60" customHeight="1" spans="1:12" s="2" customFormat="1" x14ac:dyDescent="0.25">
      <c r="A13" s="6" t="s">
        <v>64</v>
      </c>
      <c r="B13" s="6" t="s">
        <v>60</v>
      </c>
      <c r="C13" s="7" t="s">
        <v>65</v>
      </c>
      <c r="D13" s="8" t="s">
        <v>36</v>
      </c>
      <c r="E13" s="6" t="s">
        <v>29</v>
      </c>
      <c r="F13" s="6" t="s">
        <v>43</v>
      </c>
      <c r="G13" s="7" t="s">
        <v>62</v>
      </c>
      <c r="H13" s="6" t="s">
        <v>31</v>
      </c>
      <c r="I13" s="6" t="s">
        <v>32</v>
      </c>
      <c r="J13" s="6" t="s">
        <v>53</v>
      </c>
      <c r="K13" s="6" t="s">
        <v>24</v>
      </c>
      <c r="L13" s="7" t="s">
        <v>66</v>
      </c>
    </row>
    <row r="14" ht="60" customHeight="1" spans="1:12" s="2" customFormat="1" x14ac:dyDescent="0.25">
      <c r="A14" s="6" t="s">
        <v>67</v>
      </c>
      <c r="B14" s="6" t="s">
        <v>68</v>
      </c>
      <c r="C14" s="7" t="s">
        <v>69</v>
      </c>
      <c r="D14" s="8" t="s">
        <v>17</v>
      </c>
      <c r="E14" s="6" t="s">
        <v>29</v>
      </c>
      <c r="F14" s="6" t="s">
        <v>19</v>
      </c>
      <c r="G14" s="7" t="s">
        <v>70</v>
      </c>
      <c r="H14" s="6" t="s">
        <v>31</v>
      </c>
      <c r="I14" s="6" t="s">
        <v>32</v>
      </c>
      <c r="J14" s="6" t="s">
        <v>57</v>
      </c>
      <c r="K14" s="6" t="s">
        <v>24</v>
      </c>
      <c r="L14" s="7" t="s">
        <v>71</v>
      </c>
    </row>
    <row r="15" ht="60" customHeight="1" spans="1:12" s="2" customFormat="1" x14ac:dyDescent="0.25">
      <c r="A15" s="6" t="s">
        <v>72</v>
      </c>
      <c r="B15" s="6" t="s">
        <v>68</v>
      </c>
      <c r="C15" s="7" t="s">
        <v>73</v>
      </c>
      <c r="D15" s="8" t="s">
        <v>36</v>
      </c>
      <c r="E15" s="6" t="s">
        <v>29</v>
      </c>
      <c r="F15" s="6" t="s">
        <v>19</v>
      </c>
      <c r="G15" s="7" t="s">
        <v>70</v>
      </c>
      <c r="H15" s="6" t="s">
        <v>31</v>
      </c>
      <c r="I15" s="6" t="s">
        <v>53</v>
      </c>
      <c r="J15" s="6" t="s">
        <v>74</v>
      </c>
      <c r="K15" s="6" t="s">
        <v>24</v>
      </c>
      <c r="L15" s="7" t="s">
        <v>75</v>
      </c>
    </row>
    <row r="16" ht="60" customHeight="1" spans="1:12" s="2" customFormat="1" x14ac:dyDescent="0.25">
      <c r="A16" s="6" t="s">
        <v>76</v>
      </c>
      <c r="B16" s="6" t="s">
        <v>77</v>
      </c>
      <c r="C16" s="7" t="s">
        <v>78</v>
      </c>
      <c r="D16" s="8" t="s">
        <v>17</v>
      </c>
      <c r="E16" s="6" t="s">
        <v>18</v>
      </c>
      <c r="F16" s="6" t="s">
        <v>19</v>
      </c>
      <c r="G16" s="7" t="s">
        <v>79</v>
      </c>
      <c r="H16" s="6" t="s">
        <v>21</v>
      </c>
      <c r="I16" s="6" t="s">
        <v>23</v>
      </c>
      <c r="J16" s="6" t="s">
        <v>52</v>
      </c>
      <c r="K16" s="6" t="s">
        <v>24</v>
      </c>
      <c r="L16" s="7" t="s">
        <v>80</v>
      </c>
    </row>
    <row r="17" ht="60" customHeight="1" spans="1:12" s="2" customFormat="1" x14ac:dyDescent="0.25">
      <c r="A17" s="6" t="s">
        <v>81</v>
      </c>
      <c r="B17" s="6" t="s">
        <v>77</v>
      </c>
      <c r="C17" s="7" t="s">
        <v>82</v>
      </c>
      <c r="D17" s="8" t="s">
        <v>17</v>
      </c>
      <c r="E17" s="6" t="s">
        <v>18</v>
      </c>
      <c r="F17" s="6" t="s">
        <v>83</v>
      </c>
      <c r="G17" s="7" t="s">
        <v>84</v>
      </c>
      <c r="H17" s="6" t="s">
        <v>21</v>
      </c>
      <c r="I17" s="6" t="s">
        <v>37</v>
      </c>
      <c r="J17" s="6" t="s">
        <v>53</v>
      </c>
      <c r="K17" s="6" t="s">
        <v>24</v>
      </c>
      <c r="L17" s="7" t="s">
        <v>85</v>
      </c>
    </row>
    <row r="18" ht="60" customHeight="1" spans="1:12" s="2" customFormat="1" x14ac:dyDescent="0.25">
      <c r="A18" s="6" t="s">
        <v>86</v>
      </c>
      <c r="B18" s="6" t="s">
        <v>77</v>
      </c>
      <c r="C18" s="7" t="s">
        <v>87</v>
      </c>
      <c r="D18" s="8" t="s">
        <v>36</v>
      </c>
      <c r="E18" s="6" t="s">
        <v>88</v>
      </c>
      <c r="F18" s="6" t="s">
        <v>83</v>
      </c>
      <c r="G18" s="7" t="s">
        <v>84</v>
      </c>
      <c r="H18" s="6" t="s">
        <v>89</v>
      </c>
      <c r="I18" s="6" t="s">
        <v>37</v>
      </c>
      <c r="J18" s="6" t="s">
        <v>57</v>
      </c>
      <c r="K18" s="6" t="s">
        <v>24</v>
      </c>
      <c r="L18" s="7" t="s">
        <v>90</v>
      </c>
    </row>
    <row r="19" ht="60" customHeight="1" spans="1:12" s="2" customFormat="1" x14ac:dyDescent="0.25">
      <c r="A19" s="6" t="s">
        <v>91</v>
      </c>
      <c r="B19" s="6" t="s">
        <v>77</v>
      </c>
      <c r="C19" s="7" t="s">
        <v>92</v>
      </c>
      <c r="D19" s="8" t="s">
        <v>17</v>
      </c>
      <c r="E19" s="6" t="s">
        <v>18</v>
      </c>
      <c r="F19" s="6" t="s">
        <v>19</v>
      </c>
      <c r="G19" s="7" t="s">
        <v>93</v>
      </c>
      <c r="H19" s="6" t="s">
        <v>21</v>
      </c>
      <c r="I19" s="6" t="s">
        <v>38</v>
      </c>
      <c r="J19" s="6" t="s">
        <v>57</v>
      </c>
      <c r="K19" s="6" t="s">
        <v>24</v>
      </c>
      <c r="L19" s="7" t="s">
        <v>94</v>
      </c>
    </row>
    <row r="20" ht="60" customHeight="1" spans="1:12" s="2" customFormat="1" x14ac:dyDescent="0.25">
      <c r="A20" s="6" t="s">
        <v>95</v>
      </c>
      <c r="B20" s="6" t="s">
        <v>77</v>
      </c>
      <c r="C20" s="7" t="s">
        <v>96</v>
      </c>
      <c r="D20" s="8" t="s">
        <v>36</v>
      </c>
      <c r="E20" s="6" t="s">
        <v>88</v>
      </c>
      <c r="F20" s="6" t="s">
        <v>19</v>
      </c>
      <c r="G20" s="7" t="s">
        <v>93</v>
      </c>
      <c r="H20" s="6" t="s">
        <v>89</v>
      </c>
      <c r="I20" s="6" t="s">
        <v>53</v>
      </c>
      <c r="J20" s="6" t="s">
        <v>97</v>
      </c>
      <c r="K20" s="6" t="s">
        <v>24</v>
      </c>
      <c r="L20" s="7" t="s">
        <v>98</v>
      </c>
    </row>
    <row r="21" ht="60" customHeight="1" spans="1:12" s="2" customFormat="1" x14ac:dyDescent="0.25">
      <c r="A21" s="6" t="s">
        <v>99</v>
      </c>
      <c r="B21" s="6" t="s">
        <v>100</v>
      </c>
      <c r="C21" s="7" t="s">
        <v>101</v>
      </c>
      <c r="D21" s="8" t="s">
        <v>17</v>
      </c>
      <c r="E21" s="6" t="s">
        <v>18</v>
      </c>
      <c r="F21" s="6" t="s">
        <v>19</v>
      </c>
      <c r="G21" s="7" t="s">
        <v>102</v>
      </c>
      <c r="H21" s="6" t="s">
        <v>21</v>
      </c>
      <c r="I21" s="6" t="s">
        <v>53</v>
      </c>
      <c r="J21" s="6" t="s">
        <v>97</v>
      </c>
      <c r="K21" s="6" t="s">
        <v>24</v>
      </c>
      <c r="L21" s="7" t="s">
        <v>103</v>
      </c>
    </row>
    <row r="22" ht="60" customHeight="1" spans="1:12" s="2" customFormat="1" x14ac:dyDescent="0.25">
      <c r="A22" s="6" t="s">
        <v>104</v>
      </c>
      <c r="B22" s="6" t="s">
        <v>100</v>
      </c>
      <c r="C22" s="7" t="s">
        <v>105</v>
      </c>
      <c r="D22" s="8" t="s">
        <v>36</v>
      </c>
      <c r="E22" s="6" t="s">
        <v>88</v>
      </c>
      <c r="F22" s="6" t="s">
        <v>19</v>
      </c>
      <c r="G22" s="7" t="s">
        <v>102</v>
      </c>
      <c r="H22" s="6" t="s">
        <v>89</v>
      </c>
      <c r="I22" s="6" t="s">
        <v>57</v>
      </c>
      <c r="J22" s="6" t="s">
        <v>74</v>
      </c>
      <c r="K22" s="6" t="s">
        <v>24</v>
      </c>
      <c r="L22" s="7" t="s">
        <v>106</v>
      </c>
    </row>
    <row r="23" ht="60" customHeight="1" spans="1:12" s="2" customFormat="1" x14ac:dyDescent="0.25">
      <c r="A23" s="6" t="s">
        <v>107</v>
      </c>
      <c r="B23" s="6" t="s">
        <v>108</v>
      </c>
      <c r="C23" s="7" t="s">
        <v>109</v>
      </c>
      <c r="D23" s="8" t="s">
        <v>17</v>
      </c>
      <c r="E23" s="6" t="s">
        <v>18</v>
      </c>
      <c r="F23" s="6" t="s">
        <v>19</v>
      </c>
      <c r="G23" s="7" t="s">
        <v>110</v>
      </c>
      <c r="H23" s="6" t="s">
        <v>21</v>
      </c>
      <c r="I23" s="6" t="s">
        <v>57</v>
      </c>
      <c r="J23" s="6" t="s">
        <v>74</v>
      </c>
      <c r="K23" s="6" t="s">
        <v>24</v>
      </c>
      <c r="L23" s="7" t="s">
        <v>111</v>
      </c>
    </row>
    <row r="24" ht="60" customHeight="1" spans="1:12" s="2" customFormat="1" x14ac:dyDescent="0.25">
      <c r="A24" s="6" t="s">
        <v>112</v>
      </c>
      <c r="B24" s="6" t="s">
        <v>108</v>
      </c>
      <c r="C24" s="7" t="s">
        <v>113</v>
      </c>
      <c r="D24" s="8" t="s">
        <v>36</v>
      </c>
      <c r="E24" s="6" t="s">
        <v>88</v>
      </c>
      <c r="F24" s="6" t="s">
        <v>19</v>
      </c>
      <c r="G24" s="7" t="s">
        <v>110</v>
      </c>
      <c r="H24" s="6" t="s">
        <v>89</v>
      </c>
      <c r="I24" s="6" t="s">
        <v>97</v>
      </c>
      <c r="J24" s="6" t="s">
        <v>114</v>
      </c>
      <c r="K24" s="6" t="s">
        <v>24</v>
      </c>
      <c r="L24" s="7" t="s">
        <v>115</v>
      </c>
    </row>
    <row r="25" ht="60" customHeight="1" spans="1:12" s="2" customFormat="1" x14ac:dyDescent="0.25">
      <c r="A25" s="6" t="s">
        <v>116</v>
      </c>
      <c r="B25" s="6" t="s">
        <v>117</v>
      </c>
      <c r="C25" s="7" t="s">
        <v>118</v>
      </c>
      <c r="D25" s="8" t="s">
        <v>17</v>
      </c>
      <c r="E25" s="6" t="s">
        <v>18</v>
      </c>
      <c r="F25" s="6" t="s">
        <v>19</v>
      </c>
      <c r="G25" s="7" t="s">
        <v>119</v>
      </c>
      <c r="H25" s="6" t="s">
        <v>21</v>
      </c>
      <c r="I25" s="6" t="s">
        <v>97</v>
      </c>
      <c r="J25" s="6" t="s">
        <v>114</v>
      </c>
      <c r="K25" s="6" t="s">
        <v>24</v>
      </c>
      <c r="L25" s="7" t="s">
        <v>120</v>
      </c>
    </row>
    <row r="26" ht="60" customHeight="1" spans="1:12" s="2" customFormat="1" x14ac:dyDescent="0.25">
      <c r="A26" s="6" t="s">
        <v>121</v>
      </c>
      <c r="B26" s="6" t="s">
        <v>117</v>
      </c>
      <c r="C26" s="7" t="s">
        <v>122</v>
      </c>
      <c r="D26" s="8" t="s">
        <v>36</v>
      </c>
      <c r="E26" s="6" t="s">
        <v>88</v>
      </c>
      <c r="F26" s="6" t="s">
        <v>19</v>
      </c>
      <c r="G26" s="7" t="s">
        <v>119</v>
      </c>
      <c r="H26" s="6" t="s">
        <v>89</v>
      </c>
      <c r="I26" s="6" t="s">
        <v>74</v>
      </c>
      <c r="J26" s="6" t="s">
        <v>123</v>
      </c>
      <c r="K26" s="6" t="s">
        <v>24</v>
      </c>
      <c r="L26" s="7" t="s">
        <v>124</v>
      </c>
    </row>
    <row r="27" ht="60" customHeight="1" spans="1:12" s="2" customFormat="1" x14ac:dyDescent="0.25">
      <c r="A27" s="6" t="s">
        <v>125</v>
      </c>
      <c r="B27" s="6" t="s">
        <v>126</v>
      </c>
      <c r="C27" s="7" t="s">
        <v>127</v>
      </c>
      <c r="D27" s="8" t="s">
        <v>17</v>
      </c>
      <c r="E27" s="6" t="s">
        <v>18</v>
      </c>
      <c r="F27" s="6" t="s">
        <v>19</v>
      </c>
      <c r="G27" s="7" t="s">
        <v>128</v>
      </c>
      <c r="H27" s="6" t="s">
        <v>21</v>
      </c>
      <c r="I27" s="6" t="s">
        <v>23</v>
      </c>
      <c r="J27" s="6" t="s">
        <v>32</v>
      </c>
      <c r="K27" s="6" t="s">
        <v>24</v>
      </c>
      <c r="L27" s="7" t="s">
        <v>129</v>
      </c>
    </row>
    <row r="28" ht="60" customHeight="1" spans="1:12" s="2" customFormat="1" x14ac:dyDescent="0.25">
      <c r="A28" s="6" t="s">
        <v>130</v>
      </c>
      <c r="B28" s="6" t="s">
        <v>126</v>
      </c>
      <c r="C28" s="7" t="s">
        <v>131</v>
      </c>
      <c r="D28" s="8" t="s">
        <v>36</v>
      </c>
      <c r="E28" s="6" t="s">
        <v>18</v>
      </c>
      <c r="F28" s="6" t="s">
        <v>19</v>
      </c>
      <c r="G28" s="7" t="s">
        <v>128</v>
      </c>
      <c r="H28" s="6" t="s">
        <v>21</v>
      </c>
      <c r="I28" s="6" t="s">
        <v>52</v>
      </c>
      <c r="J28" s="6" t="s">
        <v>53</v>
      </c>
      <c r="K28" s="6" t="s">
        <v>24</v>
      </c>
      <c r="L28" s="7" t="s">
        <v>132</v>
      </c>
    </row>
    <row r="29" ht="60" customHeight="1" spans="1:12" s="2" customFormat="1" x14ac:dyDescent="0.25">
      <c r="A29" s="6" t="s">
        <v>133</v>
      </c>
      <c r="B29" s="6" t="s">
        <v>126</v>
      </c>
      <c r="C29" s="7" t="s">
        <v>134</v>
      </c>
      <c r="D29" s="8" t="s">
        <v>17</v>
      </c>
      <c r="E29" s="6" t="s">
        <v>18</v>
      </c>
      <c r="F29" s="6" t="s">
        <v>83</v>
      </c>
      <c r="G29" s="7" t="s">
        <v>135</v>
      </c>
      <c r="H29" s="6" t="s">
        <v>21</v>
      </c>
      <c r="I29" s="6" t="s">
        <v>32</v>
      </c>
      <c r="J29" s="6" t="s">
        <v>97</v>
      </c>
      <c r="K29" s="6" t="s">
        <v>24</v>
      </c>
      <c r="L29" s="7" t="s">
        <v>136</v>
      </c>
    </row>
    <row r="30" ht="60" customHeight="1" spans="1:12" s="2" customFormat="1" x14ac:dyDescent="0.25">
      <c r="A30" s="6" t="s">
        <v>137</v>
      </c>
      <c r="B30" s="6" t="s">
        <v>126</v>
      </c>
      <c r="C30" s="7" t="s">
        <v>138</v>
      </c>
      <c r="D30" s="8" t="s">
        <v>36</v>
      </c>
      <c r="E30" s="6" t="s">
        <v>18</v>
      </c>
      <c r="F30" s="6" t="s">
        <v>83</v>
      </c>
      <c r="G30" s="7" t="s">
        <v>135</v>
      </c>
      <c r="H30" s="6" t="s">
        <v>21</v>
      </c>
      <c r="I30" s="6" t="s">
        <v>57</v>
      </c>
      <c r="J30" s="6" t="s">
        <v>74</v>
      </c>
      <c r="K30" s="6" t="s">
        <v>24</v>
      </c>
      <c r="L30" s="7" t="s">
        <v>139</v>
      </c>
    </row>
    <row r="31" ht="60" customHeight="1" spans="1:12" s="2" customFormat="1" x14ac:dyDescent="0.25">
      <c r="A31" s="6" t="s">
        <v>140</v>
      </c>
      <c r="B31" s="6" t="s">
        <v>141</v>
      </c>
      <c r="C31" s="7" t="s">
        <v>142</v>
      </c>
      <c r="D31" s="8" t="s">
        <v>17</v>
      </c>
      <c r="E31" s="6" t="s">
        <v>18</v>
      </c>
      <c r="F31" s="6" t="s">
        <v>19</v>
      </c>
      <c r="G31" s="7" t="s">
        <v>143</v>
      </c>
      <c r="H31" s="6" t="s">
        <v>21</v>
      </c>
      <c r="I31" s="6" t="s">
        <v>52</v>
      </c>
      <c r="J31" s="6" t="s">
        <v>53</v>
      </c>
      <c r="K31" s="6" t="s">
        <v>24</v>
      </c>
      <c r="L31" s="7" t="s">
        <v>144</v>
      </c>
    </row>
    <row r="32" ht="60" customHeight="1" spans="1:12" s="2" customFormat="1" x14ac:dyDescent="0.25">
      <c r="A32" s="6" t="s">
        <v>145</v>
      </c>
      <c r="B32" s="6" t="s">
        <v>141</v>
      </c>
      <c r="C32" s="7" t="s">
        <v>146</v>
      </c>
      <c r="D32" s="8" t="s">
        <v>36</v>
      </c>
      <c r="E32" s="6" t="s">
        <v>18</v>
      </c>
      <c r="F32" s="6" t="s">
        <v>19</v>
      </c>
      <c r="G32" s="7" t="s">
        <v>143</v>
      </c>
      <c r="H32" s="6" t="s">
        <v>21</v>
      </c>
      <c r="I32" s="6" t="s">
        <v>97</v>
      </c>
      <c r="J32" s="6" t="s">
        <v>114</v>
      </c>
      <c r="K32" s="6" t="s">
        <v>24</v>
      </c>
      <c r="L32" s="7" t="s">
        <v>147</v>
      </c>
    </row>
    <row r="33" ht="60" customHeight="1" spans="1:12" s="2" customFormat="1" x14ac:dyDescent="0.25">
      <c r="A33" s="6" t="s">
        <v>148</v>
      </c>
      <c r="B33" s="6" t="s">
        <v>149</v>
      </c>
      <c r="C33" s="7" t="s">
        <v>150</v>
      </c>
      <c r="D33" s="8" t="s">
        <v>17</v>
      </c>
      <c r="E33" s="6" t="s">
        <v>18</v>
      </c>
      <c r="F33" s="6" t="s">
        <v>43</v>
      </c>
      <c r="G33" s="7" t="s">
        <v>151</v>
      </c>
      <c r="H33" s="6" t="s">
        <v>21</v>
      </c>
      <c r="I33" s="6" t="s">
        <v>74</v>
      </c>
      <c r="J33" s="6" t="s">
        <v>114</v>
      </c>
      <c r="K33" s="6" t="s">
        <v>24</v>
      </c>
      <c r="L33" s="7" t="s">
        <v>152</v>
      </c>
    </row>
    <row r="34" ht="60" customHeight="1" spans="1:12" s="2" customFormat="1" x14ac:dyDescent="0.25">
      <c r="A34" s="6" t="s">
        <v>153</v>
      </c>
      <c r="B34" s="6" t="s">
        <v>154</v>
      </c>
      <c r="C34" s="7" t="s">
        <v>155</v>
      </c>
      <c r="D34" s="8" t="s">
        <v>156</v>
      </c>
      <c r="E34" s="6" t="s">
        <v>88</v>
      </c>
      <c r="F34" s="6" t="s">
        <v>19</v>
      </c>
      <c r="G34" s="7" t="s">
        <v>157</v>
      </c>
      <c r="H34" s="6" t="s">
        <v>89</v>
      </c>
      <c r="I34" s="6" t="s">
        <v>74</v>
      </c>
      <c r="J34" s="6" t="s">
        <v>158</v>
      </c>
      <c r="K34" s="6" t="s">
        <v>24</v>
      </c>
      <c r="L34" s="7" t="s">
        <v>159</v>
      </c>
    </row>
    <row r="35" ht="60" customHeight="1" spans="1:12" s="2" customFormat="1" x14ac:dyDescent="0.25">
      <c r="A35" s="6" t="s">
        <v>160</v>
      </c>
      <c r="B35" s="6" t="s">
        <v>154</v>
      </c>
      <c r="C35" s="7" t="s">
        <v>161</v>
      </c>
      <c r="D35" s="8" t="s">
        <v>156</v>
      </c>
      <c r="E35" s="6" t="s">
        <v>29</v>
      </c>
      <c r="F35" s="6" t="s">
        <v>43</v>
      </c>
      <c r="G35" s="7" t="s">
        <v>162</v>
      </c>
      <c r="H35" s="6" t="s">
        <v>31</v>
      </c>
      <c r="I35" s="6" t="s">
        <v>74</v>
      </c>
      <c r="J35" s="6" t="s">
        <v>123</v>
      </c>
      <c r="K35" s="6" t="s">
        <v>24</v>
      </c>
      <c r="L35" s="7" t="s">
        <v>163</v>
      </c>
    </row>
    <row r="36" ht="60" customHeight="1" spans="1:12" s="2" customFormat="1" x14ac:dyDescent="0.25">
      <c r="A36" s="6" t="s">
        <v>164</v>
      </c>
      <c r="B36" s="6" t="s">
        <v>154</v>
      </c>
      <c r="C36" s="7" t="s">
        <v>165</v>
      </c>
      <c r="D36" s="8" t="s">
        <v>156</v>
      </c>
      <c r="E36" s="6" t="s">
        <v>88</v>
      </c>
      <c r="F36" s="6" t="s">
        <v>43</v>
      </c>
      <c r="G36" s="7" t="s">
        <v>166</v>
      </c>
      <c r="H36" s="6" t="s">
        <v>89</v>
      </c>
      <c r="I36" s="6" t="s">
        <v>114</v>
      </c>
      <c r="J36" s="6" t="s">
        <v>158</v>
      </c>
      <c r="K36" s="6" t="s">
        <v>24</v>
      </c>
      <c r="L36" s="7" t="s">
        <v>167</v>
      </c>
    </row>
    <row r="37" ht="60" customHeight="1" spans="1:12" s="2" customFormat="1" x14ac:dyDescent="0.25">
      <c r="A37" s="6" t="s">
        <v>168</v>
      </c>
      <c r="B37" s="6" t="s">
        <v>169</v>
      </c>
      <c r="C37" s="7" t="s">
        <v>170</v>
      </c>
      <c r="D37" s="8" t="s">
        <v>171</v>
      </c>
      <c r="E37" s="6" t="s">
        <v>18</v>
      </c>
      <c r="F37" s="6" t="s">
        <v>43</v>
      </c>
      <c r="G37" s="7" t="s">
        <v>166</v>
      </c>
      <c r="H37" s="6" t="s">
        <v>21</v>
      </c>
      <c r="I37" s="6" t="s">
        <v>74</v>
      </c>
      <c r="J37" s="6" t="s">
        <v>158</v>
      </c>
      <c r="K37" s="6" t="s">
        <v>24</v>
      </c>
      <c r="L37" s="7" t="s">
        <v>172</v>
      </c>
    </row>
    <row r="38" ht="60" customHeight="1" spans="1:12" s="2" customFormat="1" x14ac:dyDescent="0.25">
      <c r="A38" s="6" t="s">
        <v>173</v>
      </c>
      <c r="B38" s="6" t="s">
        <v>169</v>
      </c>
      <c r="C38" s="7" t="s">
        <v>174</v>
      </c>
      <c r="D38" s="8" t="s">
        <v>17</v>
      </c>
      <c r="E38" s="6" t="s">
        <v>18</v>
      </c>
      <c r="F38" s="6" t="s">
        <v>19</v>
      </c>
      <c r="G38" s="7" t="s">
        <v>166</v>
      </c>
      <c r="H38" s="6" t="s">
        <v>21</v>
      </c>
      <c r="I38" s="6" t="s">
        <v>57</v>
      </c>
      <c r="J38" s="6" t="s">
        <v>114</v>
      </c>
      <c r="K38" s="6" t="s">
        <v>24</v>
      </c>
      <c r="L38" s="7" t="s">
        <v>175</v>
      </c>
    </row>
    <row r="39" ht="60" customHeight="1" spans="1:12" s="2" customFormat="1" x14ac:dyDescent="0.25">
      <c r="A39" s="6" t="s">
        <v>176</v>
      </c>
      <c r="B39" s="6" t="s">
        <v>169</v>
      </c>
      <c r="C39" s="7" t="s">
        <v>177</v>
      </c>
      <c r="D39" s="8" t="s">
        <v>171</v>
      </c>
      <c r="E39" s="6" t="s">
        <v>18</v>
      </c>
      <c r="F39" s="6" t="s">
        <v>43</v>
      </c>
      <c r="G39" s="7" t="s">
        <v>166</v>
      </c>
      <c r="H39" s="6" t="s">
        <v>21</v>
      </c>
      <c r="I39" s="6" t="s">
        <v>123</v>
      </c>
      <c r="J39" s="6" t="s">
        <v>158</v>
      </c>
      <c r="K39" s="6" t="s">
        <v>178</v>
      </c>
      <c r="L39" s="7" t="s">
        <v>179</v>
      </c>
    </row>
  </sheetData>
  <autoFilter ref="A4:L39"/>
  <mergeCells count="2">
    <mergeCell ref="A1:L1"/>
    <mergeCell ref="A2:L2"/>
  </mergeCells>
  <conditionalFormatting sqref="K5:K39">
    <cfRule type="cellIs" dxfId="0" priority="2" operator="equal">
      <formula>"Done"</formula>
    </cfRule>
    <cfRule type="cellIs" dxfId="1" priority="3" operator="equal">
      <formula>"Review"</formula>
    </cfRule>
    <cfRule type="cellIs" dxfId="2" priority="4" operator="equal">
      <formula>"In Progress"</formula>
    </cfRule>
    <cfRule type="cellIs" dxfId="3" priority="5" operator="equal">
      <formula>"To Do"</formula>
    </cfRule>
  </conditionalFormatting>
  <dataValidations count="2">
    <dataValidation type="list" allowBlank="1" sqref="K10:K39">
      <formula1>"To Do,In Progress,Review,Done"</formula1>
    </dataValidation>
    <dataValidation type="list" allowBlank="1" sqref="K5:K39">
      <formula1>"To Do,In Progress,Review,Done"</formula1>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H17"/>
  <sheetViews>
    <sheetView workbookViewId="0" zoomScale="100" zoomScaleNormal="100" view="normal">
      <selection activeCell="A1" sqref="A1"/>
    </sheetView>
  </sheetViews>
  <sheetFormatPr defaultRowHeight="13.5" outlineLevelRow="0" outlineLevelCol="0" x14ac:dyDescent="0" defaultColWidth="8.6171875" customHeight="1"/>
  <cols>
    <col min="1" max="8" width="14" style="1" customWidth="1"/>
  </cols>
  <sheetData>
    <row r="1" ht="16.5" customHeight="1" spans="1:1" s="2" customFormat="1" x14ac:dyDescent="0.25">
      <c r="A1" s="9" t="s">
        <v>180</v>
      </c>
    </row>
    <row r="3" ht="13.5" customHeight="1" spans="1:8" s="2" customFormat="1" x14ac:dyDescent="0.25">
      <c r="A3" s="10" t="s">
        <v>181</v>
      </c>
      <c r="B3" s="10" t="s">
        <v>182</v>
      </c>
      <c r="C3" s="10" t="s">
        <v>183</v>
      </c>
      <c r="D3" s="10" t="s">
        <v>184</v>
      </c>
      <c r="E3" s="10" t="s">
        <v>178</v>
      </c>
      <c r="F3" s="10" t="s">
        <v>24</v>
      </c>
      <c r="G3" s="10" t="s">
        <v>185</v>
      </c>
      <c r="H3" s="10" t="s">
        <v>186</v>
      </c>
    </row>
    <row r="4" ht="13.5" customHeight="1" spans="1:8" s="2" customFormat="1" x14ac:dyDescent="0.25">
      <c r="A4" s="11" t="s">
        <v>187</v>
      </c>
      <c r="B4" s="11" t="s">
        <v>188</v>
      </c>
      <c r="C4" s="11">
        <f>COUNTIF('Task Sprint 4'!$E$5:$E$39,A4)</f>
        <v>0</v>
      </c>
      <c r="D4" s="11">
        <f>COUNTIFS('Task Sprint 4'!$E$5:$E$39,$A4,'Task Sprint 4'!$K$5:$K$39,"To Do")</f>
        <v>0</v>
      </c>
      <c r="E4" s="11">
        <f>COUNTIFS('Task Sprint 4'!$E$5:$E$39,$A4,'Task Sprint 4'!$K$5:$K$39,"In Progress")</f>
        <v>0</v>
      </c>
      <c r="F4" s="11">
        <f>COUNTIFS('Task Sprint 4'!$E$5:$E$39,$A4,'Task Sprint 4'!$K$5:$K$39,"Review")</f>
        <v>0</v>
      </c>
      <c r="G4" s="11">
        <f>COUNTIFS('Task Sprint 4'!$E$5:$E$39,$A4,'Task Sprint 4'!$K$5:$K$39,"Done")</f>
        <v>0</v>
      </c>
      <c r="H4" s="12">
        <f>IF(C4=0,0,G4/C4)</f>
        <v>0</v>
      </c>
    </row>
    <row r="5" ht="13.5" customHeight="1" spans="1:8" s="2" customFormat="1" x14ac:dyDescent="0.25">
      <c r="A5" s="11" t="s">
        <v>18</v>
      </c>
      <c r="B5" s="11" t="s">
        <v>17</v>
      </c>
      <c r="C5" s="11">
        <f>COUNTIF('Task Sprint 4'!$E$5:$E$39,A5)</f>
        <v>17</v>
      </c>
      <c r="D5" s="11">
        <f>COUNTIFS('Task Sprint 4'!$E$5:$E$39,$A5,'Task Sprint 4'!$K$5:$K$39,"To Do")</f>
        <v>0</v>
      </c>
      <c r="E5" s="11">
        <f>COUNTIFS('Task Sprint 4'!$E$5:$E$39,$A5,'Task Sprint 4'!$K$5:$K$39,"In Progress")</f>
        <v>1</v>
      </c>
      <c r="F5" s="11">
        <f>COUNTIFS('Task Sprint 4'!$E$5:$E$39,$A5,'Task Sprint 4'!$K$5:$K$39,"Review")</f>
        <v>16</v>
      </c>
      <c r="G5" s="11">
        <f>COUNTIFS('Task Sprint 4'!$E$5:$E$39,$A5,'Task Sprint 4'!$K$5:$K$39,"Done")</f>
        <v>0</v>
      </c>
      <c r="H5" s="12">
        <f>IF(C5=0,0,G5/C5)</f>
        <v>0</v>
      </c>
    </row>
    <row r="6" ht="13.5" customHeight="1" spans="1:8" s="2" customFormat="1" x14ac:dyDescent="0.25">
      <c r="A6" s="11" t="s">
        <v>29</v>
      </c>
      <c r="B6" s="11" t="s">
        <v>189</v>
      </c>
      <c r="C6" s="11">
        <f>COUNTIF('Task Sprint 4'!$E$5:$E$39,A6)</f>
        <v>11</v>
      </c>
      <c r="D6" s="11">
        <f>COUNTIFS('Task Sprint 4'!$E$5:$E$39,$A6,'Task Sprint 4'!$K$5:$K$39,"To Do")</f>
        <v>0</v>
      </c>
      <c r="E6" s="11">
        <f>COUNTIFS('Task Sprint 4'!$E$5:$E$39,$A6,'Task Sprint 4'!$K$5:$K$39,"In Progress")</f>
        <v>0</v>
      </c>
      <c r="F6" s="11">
        <f>COUNTIFS('Task Sprint 4'!$E$5:$E$39,$A6,'Task Sprint 4'!$K$5:$K$39,"Review")</f>
        <v>11</v>
      </c>
      <c r="G6" s="11">
        <f>COUNTIFS('Task Sprint 4'!$E$5:$E$39,$A6,'Task Sprint 4'!$K$5:$K$39,"Done")</f>
        <v>0</v>
      </c>
      <c r="H6" s="12">
        <f>IF(C6=0,0,G6/C6)</f>
        <v>0</v>
      </c>
    </row>
    <row r="7" ht="13.5" customHeight="1" spans="1:8" s="2" customFormat="1" x14ac:dyDescent="0.25">
      <c r="A7" s="11" t="s">
        <v>88</v>
      </c>
      <c r="B7" s="11" t="s">
        <v>36</v>
      </c>
      <c r="C7" s="11">
        <f>COUNTIF('Task Sprint 4'!$E$5:$E$39,A7)</f>
        <v>7</v>
      </c>
      <c r="D7" s="11">
        <f>COUNTIFS('Task Sprint 4'!$E$5:$E$39,$A7,'Task Sprint 4'!$K$5:$K$39,"To Do")</f>
        <v>0</v>
      </c>
      <c r="E7" s="11">
        <f>COUNTIFS('Task Sprint 4'!$E$5:$E$39,$A7,'Task Sprint 4'!$K$5:$K$39,"In Progress")</f>
        <v>0</v>
      </c>
      <c r="F7" s="11">
        <f>COUNTIFS('Task Sprint 4'!$E$5:$E$39,$A7,'Task Sprint 4'!$K$5:$K$39,"Review")</f>
        <v>7</v>
      </c>
      <c r="G7" s="11">
        <f>COUNTIFS('Task Sprint 4'!$E$5:$E$39,$A7,'Task Sprint 4'!$K$5:$K$39,"Done")</f>
        <v>0</v>
      </c>
      <c r="H7" s="12">
        <f>IF(C7=0,0,G7/C7)</f>
        <v>0</v>
      </c>
    </row>
    <row r="8" ht="13.5" customHeight="1" spans="1:8" s="2" customFormat="1" x14ac:dyDescent="0.25">
      <c r="A8" s="13" t="s">
        <v>190</v>
      </c>
      <c r="C8" s="1">
        <f>SUM(C4:C7)</f>
        <v>NaN</v>
      </c>
      <c r="D8" s="1">
        <f>SUM(D4:D7)</f>
        <v>NaN</v>
      </c>
      <c r="E8" s="1">
        <f>SUM(E4:E7)</f>
        <v>NaN</v>
      </c>
      <c r="F8" s="1">
        <f>SUM(F4:F7)</f>
        <v>NaN</v>
      </c>
      <c r="G8" s="1">
        <f>SUM(G4:G7)</f>
        <v>NaN</v>
      </c>
      <c r="H8" s="14">
        <f>IF(C8=0,0,G8/C8)</f>
        <v>NaN</v>
      </c>
    </row>
    <row r="10" ht="13.5" customHeight="1" spans="1:1" s="2" customFormat="1" x14ac:dyDescent="0.25">
      <c r="A10" s="13" t="s">
        <v>191</v>
      </c>
    </row>
    <row r="11" ht="13.5" customHeight="1" spans="1:1" s="2" customFormat="1" x14ac:dyDescent="0.25">
      <c r="A11" s="1" t="s">
        <v>192</v>
      </c>
    </row>
    <row r="12" ht="13.5" customHeight="1" spans="1:1" s="2" customFormat="1" x14ac:dyDescent="0.25">
      <c r="A12" s="1" t="s">
        <v>193</v>
      </c>
    </row>
    <row r="13" ht="13.5" customHeight="1" spans="1:1" s="2" customFormat="1" x14ac:dyDescent="0.25">
      <c r="A13" s="1" t="s">
        <v>194</v>
      </c>
    </row>
    <row r="14" ht="13.5" customHeight="1" spans="1:1" s="2" customFormat="1" x14ac:dyDescent="0.25">
      <c r="A14" s="1" t="s">
        <v>195</v>
      </c>
    </row>
    <row r="15" ht="13.5" customHeight="1" spans="1:1" s="2" customFormat="1" x14ac:dyDescent="0.25">
      <c r="A15" s="1" t="s">
        <v>196</v>
      </c>
    </row>
    <row r="16" ht="13.5" customHeight="1" spans="1:1" s="2" customFormat="1" x14ac:dyDescent="0.25">
      <c r="A16" s="1" t="s">
        <v>197</v>
      </c>
    </row>
    <row r="17" spans="1:1" x14ac:dyDescent="0.25">
      <c r="A17" s="1"/>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15"/>
  <sheetViews>
    <sheetView workbookViewId="0" zoomScale="100" zoomScaleNormal="100" view="normal">
      <selection activeCell="A1" sqref="A1"/>
    </sheetView>
  </sheetViews>
  <sheetFormatPr defaultRowHeight="15" outlineLevelRow="0" outlineLevelCol="0" x14ac:dyDescent="0" defaultColWidth="8.6171875"/>
  <cols>
    <col min="1" max="1" width="9" style="1" customWidth="1"/>
    <col min="2" max="2" width="7" style="1" customWidth="1"/>
    <col min="3" max="3" width="70" style="1" customWidth="1"/>
    <col min="4" max="4" width="18" style="1" customWidth="1"/>
    <col min="5" max="5" width="12" style="1" customWidth="1"/>
    <col min="6" max="6" width="50" style="1" customWidth="1"/>
  </cols>
  <sheetData>
    <row r="1" ht="17.25" customHeight="1" spans="1:1" s="2" customFormat="1" x14ac:dyDescent="0.25">
      <c r="A1" s="3" t="s">
        <v>198</v>
      </c>
    </row>
    <row r="2" ht="15" customHeight="1" spans="1:1" s="2" customFormat="1" x14ac:dyDescent="0.25">
      <c r="A2" s="4" t="s">
        <v>199</v>
      </c>
    </row>
    <row r="3" spans="1:6" x14ac:dyDescent="0.25">
      <c r="A3" t="s">
        <v>200</v>
      </c>
      <c r="B3" t="s">
        <v>201</v>
      </c>
      <c r="C3" t="s">
        <v>202</v>
      </c>
      <c r="D3" t="s">
        <v>203</v>
      </c>
      <c r="E3" t="s">
        <v>12</v>
      </c>
      <c r="F3" t="s">
        <v>204</v>
      </c>
    </row>
    <row r="4" ht="15" customHeight="1" spans="1:6" s="2" customFormat="1" x14ac:dyDescent="0.25">
      <c r="A4" s="5">
        <v>65</v>
      </c>
      <c r="B4" s="5" t="s">
        <v>205</v>
      </c>
      <c r="C4" s="5" t="s">
        <v>206</v>
      </c>
      <c r="D4" s="5" t="s">
        <v>207</v>
      </c>
      <c r="E4" s="5" t="s">
        <v>208</v>
      </c>
      <c r="F4" s="5" t="s">
        <v>209</v>
      </c>
    </row>
    <row r="5" ht="15" customHeight="1" spans="1:6" s="2" customFormat="1" x14ac:dyDescent="0.25">
      <c r="A5" s="5">
        <v>66</v>
      </c>
      <c r="B5" s="5" t="s">
        <v>205</v>
      </c>
      <c r="C5" s="5" t="s">
        <v>210</v>
      </c>
      <c r="D5" s="5" t="s">
        <v>207</v>
      </c>
      <c r="E5" s="5" t="s">
        <v>208</v>
      </c>
      <c r="F5" s="5" t="s">
        <v>209</v>
      </c>
    </row>
    <row r="6" ht="15" customHeight="1" spans="1:6" s="2" customFormat="1" x14ac:dyDescent="0.25">
      <c r="A6" s="5">
        <v>67</v>
      </c>
      <c r="B6" s="5" t="s">
        <v>205</v>
      </c>
      <c r="C6" s="5" t="s">
        <v>211</v>
      </c>
      <c r="D6" s="5" t="s">
        <v>207</v>
      </c>
      <c r="E6" s="5" t="s">
        <v>208</v>
      </c>
      <c r="F6" s="5" t="s">
        <v>209</v>
      </c>
    </row>
    <row r="7" ht="15" customHeight="1" spans="1:6" s="2" customFormat="1" x14ac:dyDescent="0.25">
      <c r="A7" s="5">
        <v>68</v>
      </c>
      <c r="B7" s="5" t="s">
        <v>205</v>
      </c>
      <c r="C7" s="5" t="s">
        <v>212</v>
      </c>
      <c r="D7" s="5" t="s">
        <v>207</v>
      </c>
      <c r="E7" s="5" t="s">
        <v>208</v>
      </c>
      <c r="F7" s="5" t="s">
        <v>209</v>
      </c>
    </row>
    <row r="8" ht="15" customHeight="1" spans="1:6" s="2" customFormat="1" x14ac:dyDescent="0.25">
      <c r="A8" s="5">
        <v>69</v>
      </c>
      <c r="B8" s="5" t="s">
        <v>205</v>
      </c>
      <c r="C8" s="5" t="s">
        <v>213</v>
      </c>
      <c r="D8" s="5" t="s">
        <v>207</v>
      </c>
      <c r="E8" s="5" t="s">
        <v>208</v>
      </c>
      <c r="F8" s="5" t="s">
        <v>209</v>
      </c>
    </row>
    <row r="9" ht="15" customHeight="1" spans="1:6" s="2" customFormat="1" x14ac:dyDescent="0.25">
      <c r="A9" s="5">
        <v>70</v>
      </c>
      <c r="B9" s="5" t="s">
        <v>214</v>
      </c>
      <c r="C9" s="5" t="s">
        <v>215</v>
      </c>
      <c r="D9" s="5" t="s">
        <v>216</v>
      </c>
      <c r="E9" s="5" t="s">
        <v>208</v>
      </c>
      <c r="F9" s="5" t="s">
        <v>217</v>
      </c>
    </row>
    <row r="10" spans="1:6" x14ac:dyDescent="0.25">
      <c r="A10" s="5">
        <v>71</v>
      </c>
      <c r="B10" s="5" t="s">
        <v>214</v>
      </c>
      <c r="C10" s="5" t="s">
        <v>218</v>
      </c>
      <c r="D10" s="5" t="s">
        <v>216</v>
      </c>
      <c r="E10" s="5" t="s">
        <v>208</v>
      </c>
      <c r="F10" s="5" t="s">
        <v>217</v>
      </c>
    </row>
    <row r="11" spans="1:6" x14ac:dyDescent="0.25">
      <c r="A11" s="5">
        <v>72</v>
      </c>
      <c r="B11" s="5" t="s">
        <v>214</v>
      </c>
      <c r="C11" s="5" t="s">
        <v>219</v>
      </c>
      <c r="D11" s="5" t="s">
        <v>216</v>
      </c>
      <c r="E11" s="5" t="s">
        <v>208</v>
      </c>
      <c r="F11" s="5" t="s">
        <v>217</v>
      </c>
    </row>
    <row r="12" spans="1:6" x14ac:dyDescent="0.25">
      <c r="A12" s="5">
        <v>73</v>
      </c>
      <c r="B12" s="5" t="s">
        <v>214</v>
      </c>
      <c r="C12" s="5" t="s">
        <v>220</v>
      </c>
      <c r="D12" s="5" t="s">
        <v>216</v>
      </c>
      <c r="E12" s="5" t="s">
        <v>208</v>
      </c>
      <c r="F12" s="5" t="s">
        <v>217</v>
      </c>
    </row>
    <row r="13" spans="1:6" x14ac:dyDescent="0.25">
      <c r="A13" s="5">
        <v>74</v>
      </c>
      <c r="B13" s="5" t="s">
        <v>214</v>
      </c>
      <c r="C13" s="5" t="s">
        <v>221</v>
      </c>
      <c r="D13" s="5" t="s">
        <v>216</v>
      </c>
      <c r="E13" s="5" t="s">
        <v>208</v>
      </c>
      <c r="F13" s="5" t="s">
        <v>217</v>
      </c>
    </row>
    <row r="14" spans="1:6" x14ac:dyDescent="0.25">
      <c r="A14" s="5">
        <v>75</v>
      </c>
      <c r="B14" s="5" t="s">
        <v>214</v>
      </c>
      <c r="C14" s="5" t="s">
        <v>222</v>
      </c>
      <c r="D14" s="5" t="s">
        <v>216</v>
      </c>
      <c r="E14" s="5" t="s">
        <v>208</v>
      </c>
      <c r="F14" s="5" t="s">
        <v>217</v>
      </c>
    </row>
    <row r="15" spans="1:6" x14ac:dyDescent="0.25">
      <c r="A15" s="5">
        <v>76</v>
      </c>
      <c r="B15" s="5" t="s">
        <v>214</v>
      </c>
      <c r="C15" s="5" t="s">
        <v>223</v>
      </c>
      <c r="D15" s="5" t="s">
        <v>216</v>
      </c>
      <c r="E15" s="5" t="s">
        <v>208</v>
      </c>
      <c r="F15" s="5" t="s">
        <v>217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Task Sprint 4</vt:lpstr>
      <vt:lpstr>Tổng hợp</vt:lpstr>
      <vt:lpstr>Không làm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86 LĐN</cp:lastModifiedBy>
  <dcterms:created xsi:type="dcterms:W3CDTF">2026-09-29T03:10:53Z</dcterms:created>
  <dcterms:modified xsi:type="dcterms:W3CDTF">2026-10-26T04:13:33Z</dcterms:modified>
</cp:coreProperties>
</file>