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Task Sprint 4" sheetId="1" state="visible" r:id="rId1"/>
    <sheet name="Tổng hợp" sheetId="2" state="visible" r:id="rId2"/>
    <sheet name="Không làm" sheetId="3" state="visible" r:id="rId3"/>
  </sheets>
  <definedNames>
    <definedName name="_xlnm._FilterDatabase" localSheetId="0" hidden="1">'Task Sprint 4'!$A$4:$L$39</definedName>
  </definedNames>
  <calcPr calcId="171027" fullCalcOnLoad="1"/>
</workbook>
</file>

<file path=xl/styles.xml><?xml version="1.0" encoding="utf-8"?>
<styleSheet xmlns="http://schemas.openxmlformats.org/spreadsheetml/2006/main">
  <numFmts count="0"/>
  <fonts count="9">
    <font>
      <name val="Calibri"/>
      <family val="2"/>
      <color theme="1"/>
      <sz val="11"/>
      <scheme val="minor"/>
    </font>
    <font>
      <name val="Arial"/>
      <charset val="1"/>
      <family val="2"/>
      <color theme="1"/>
      <sz val="11"/>
    </font>
    <font>
      <name val="Arial"/>
      <charset val="1"/>
      <b val="1"/>
      <color rgb="FF1F4E78"/>
      <sz val="14"/>
    </font>
    <font>
      <name val="Arial"/>
      <charset val="1"/>
      <i val="1"/>
      <color rgb="FF595959"/>
      <sz val="11"/>
    </font>
    <font>
      <name val="Times New Roman"/>
      <charset val="163"/>
      <family val="1"/>
      <b val="1"/>
      <color rgb="FFFFFFFF"/>
      <sz val="11"/>
    </font>
    <font>
      <name val="Times New Roman"/>
      <charset val="163"/>
      <family val="1"/>
      <color theme="1"/>
      <sz val="11"/>
    </font>
    <font>
      <name val="Arial"/>
      <charset val="1"/>
      <b val="1"/>
      <sz val="13"/>
    </font>
    <font>
      <name val="Arial"/>
      <charset val="1"/>
      <b val="1"/>
      <color rgb="FFFFFFFF"/>
      <sz val="11"/>
    </font>
    <font>
      <name val="Arial"/>
      <charset val="1"/>
      <b val="1"/>
      <sz val="11"/>
    </font>
  </fonts>
  <fills count="5">
    <fill>
      <patternFill/>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5">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bottom"/>
    </xf>
    <xf numFmtId="0" fontId="4" fillId="3" borderId="1" applyAlignment="1" pivotButton="0" quotePrefix="0" xfId="0">
      <alignment horizontal="center" vertical="center" wrapText="1"/>
    </xf>
    <xf numFmtId="0" fontId="5" fillId="2" borderId="1" applyAlignment="1" pivotButton="0" quotePrefix="0" xfId="0">
      <alignment vertical="top"/>
    </xf>
    <xf numFmtId="0" fontId="5" fillId="2" borderId="1" applyAlignment="1" pivotButton="0" quotePrefix="0" xfId="0">
      <alignment vertical="top" wrapText="1"/>
    </xf>
    <xf numFmtId="0" fontId="5" fillId="4" borderId="1" applyAlignment="1" pivotButton="0" quotePrefix="0" xfId="0">
      <alignment vertical="top"/>
    </xf>
    <xf numFmtId="0" fontId="6" fillId="2" borderId="0" applyAlignment="1" pivotButton="0" quotePrefix="0" xfId="0">
      <alignment vertical="bottom"/>
    </xf>
    <xf numFmtId="0" fontId="7" fillId="3" borderId="1" applyAlignment="1" pivotButton="0" quotePrefix="0" xfId="0">
      <alignment vertical="bottom"/>
    </xf>
    <xf numFmtId="0" fontId="1" fillId="2" borderId="1" applyAlignment="1" pivotButton="0" quotePrefix="0" xfId="0">
      <alignment vertical="bottom"/>
    </xf>
    <xf numFmtId="9" fontId="1" fillId="2" borderId="1" applyAlignment="1" pivotButton="0" quotePrefix="0" xfId="0">
      <alignment vertical="bottom"/>
    </xf>
    <xf numFmtId="0" fontId="8" fillId="2" borderId="0" applyAlignment="1" pivotButton="0" quotePrefix="0" xfId="0">
      <alignment vertical="bottom"/>
    </xf>
    <xf numFmtId="9" fontId="1" fillId="2" borderId="0" applyAlignment="1" pivotButton="0" quotePrefix="0" xfId="0">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L128"/>
  <sheetViews>
    <sheetView view="normal" zoomScale="55" zoomScaleNormal="55" workbookViewId="0">
      <pane xSplit="3" ySplit="4" topLeftCell="D5" activePane="bottomRight" state="frozen"/>
      <selection pane="bottomRight" activeCell="G25" sqref="G25"/>
    </sheetView>
  </sheetViews>
  <sheetFormatPr baseColWidth="8" defaultColWidth="8.6171875" defaultRowHeight="13.5" customHeight="1" outlineLevelRow="0"/>
  <cols>
    <col width="9" customWidth="1" style="1" min="1" max="1"/>
    <col width="11" customWidth="1" style="1" min="2" max="2"/>
    <col width="42" customWidth="1" style="1" min="3" max="3"/>
    <col width="6" customWidth="1" style="1" min="4" max="4"/>
    <col width="11" customWidth="1" style="1" min="5" max="5"/>
    <col width="9" customWidth="1" style="1" min="6" max="6"/>
    <col width="70" customWidth="1" style="1" min="7" max="7"/>
    <col width="20" customWidth="1" style="1" min="8" max="8"/>
    <col width="11" customWidth="1" style="1" min="9" max="10"/>
    <col width="13" customWidth="1" style="1" min="11" max="11"/>
    <col width="30" customWidth="1" style="1" min="12" max="12"/>
  </cols>
  <sheetData>
    <row r="1" ht="17.25" customFormat="1" customHeight="1" s="2">
      <c r="A1" s="3" t="inlineStr">
        <is>
          <t>SWP391 – TASK SHEET SPRINT 4 (03/11 → 16/11) – Tổng kết khoá học, hồ sơ HLV/hội viên, báo cáo doanh thu theo thời gian</t>
        </is>
      </c>
    </row>
    <row r="2" ht="14.25" customFormat="1" customHeight="1" s="2">
      <c r="A2" s="4" t="inlineStr">
        <is>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is>
      </c>
    </row>
    <row r="4" ht="13.5" customFormat="1" customHeight="1" s="2">
      <c r="A4" s="5" t="inlineStr">
        <is>
          <t>Task ID</t>
        </is>
      </c>
      <c r="B4" s="5" t="inlineStr">
        <is>
          <t>US</t>
        </is>
      </c>
      <c r="C4" s="5" t="inlineStr">
        <is>
          <t>Function / Screen</t>
        </is>
      </c>
      <c r="D4" s="5" t="inlineStr">
        <is>
          <t>Loại</t>
        </is>
      </c>
      <c r="E4" s="5" t="inlineStr">
        <is>
          <t>Người làm</t>
        </is>
      </c>
      <c r="F4" s="5" t="inlineStr">
        <is>
          <t>Level</t>
        </is>
      </c>
      <c r="G4" s="5" t="inlineStr">
        <is>
          <t>Business Rule</t>
        </is>
      </c>
      <c r="H4" s="5" t="inlineStr">
        <is>
          <t>Nhánh</t>
        </is>
      </c>
      <c r="I4" s="5" t="inlineStr">
        <is>
          <t>Bắt đầu</t>
        </is>
      </c>
      <c r="J4" s="5" t="inlineStr">
        <is>
          <t>Hạn</t>
        </is>
      </c>
      <c r="K4" s="5" t="inlineStr">
        <is>
          <t>Trạng thái</t>
        </is>
      </c>
      <c r="L4" s="5" t="inlineStr">
        <is>
          <t>Ghi chú</t>
        </is>
      </c>
    </row>
    <row r="5" ht="60" customFormat="1" customHeight="1" s="2">
      <c r="A5" s="6" t="inlineStr">
        <is>
          <t>S4-00</t>
        </is>
      </c>
      <c r="B5" s="6" t="inlineStr">
        <is>
          <t>Nền dữ liệu</t>
        </is>
      </c>
      <c r="C5" s="7" t="inlineStr">
        <is>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is>
      </c>
      <c r="D5" s="8" t="inlineStr">
        <is>
          <t>BE</t>
        </is>
      </c>
      <c r="E5" s="6" t="inlineStr">
        <is>
          <t>Bảo</t>
        </is>
      </c>
      <c r="F5" s="6" t="inlineStr">
        <is>
          <t>Medium</t>
        </is>
      </c>
      <c r="G5" s="7" t="inlineStr">
        <is>
          <t>Chỉ Nhanh sửa schema.prisma và tạo migration; ai cần thêm cột nhắn Nhanh. Chạy thử trên DB tạm trước, test cũ phải pass.</t>
        </is>
      </c>
      <c r="H5" s="6" t="inlineStr">
        <is>
          <t>sprint-4/be-bao</t>
        </is>
      </c>
      <c r="I5" s="6" t="inlineStr">
        <is>
          <t>03/11/2026</t>
        </is>
      </c>
      <c r="J5" s="6" t="inlineStr">
        <is>
          <t>04/11/2026</t>
        </is>
      </c>
      <c r="K5" s="6" t="inlineStr">
        <is>
          <t>Review</t>
        </is>
      </c>
      <c r="L5" s="7" t="inlineStr">
        <is>
          <t>Làm đầu tiên — mọi người rebase sau khi merge. Bảo, Khôi, Khải đọc và đồng ý contract trước 04/11. · Chuyển từ Nhanh sang Bảo theo phân công 29/10/2026.</t>
        </is>
      </c>
    </row>
    <row r="6" ht="60" customFormat="1" customHeight="1" s="2">
      <c r="A6" s="6" t="inlineStr">
        <is>
          <t>S4-01</t>
        </is>
      </c>
      <c r="B6" s="6" t="inlineStr">
        <is>
          <t>UC-UM-22</t>
        </is>
      </c>
      <c r="C6" s="7" t="inlineStr">
        <is>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6" s="8" t="inlineStr">
        <is>
          <t>BE</t>
        </is>
      </c>
      <c r="E6" s="6" t="inlineStr">
        <is>
          <t>Khôi</t>
        </is>
      </c>
      <c r="F6" s="6" t="inlineStr">
        <is>
          <t>Medium</t>
        </is>
      </c>
      <c r="G6"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6" s="6" t="inlineStr">
        <is>
          <t>sprint-4/fe-khoi</t>
        </is>
      </c>
      <c r="I6" s="6" t="inlineStr">
        <is>
          <t>04/11/2026</t>
        </is>
      </c>
      <c r="J6" s="6" t="inlineStr">
        <is>
          <t>07/11/2026</t>
        </is>
      </c>
      <c r="K6" s="6" t="inlineStr">
        <is>
          <t>To Do</t>
        </is>
      </c>
      <c r="L6" s="7" t="inlineStr">
        <is>
          <t>GET/PUT /me/coach-profile, tải ảnh đại diện</t>
        </is>
      </c>
    </row>
    <row r="7" ht="60" customFormat="1" customHeight="1" s="2">
      <c r="A7" s="6" t="inlineStr">
        <is>
          <t>S4-02</t>
        </is>
      </c>
      <c r="B7" s="6" t="inlineStr">
        <is>
          <t>UC-UM-22</t>
        </is>
      </c>
      <c r="C7" s="7" t="inlineStr">
        <is>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7" s="8" t="inlineStr">
        <is>
          <t>FE</t>
        </is>
      </c>
      <c r="E7" s="6" t="inlineStr">
        <is>
          <t>Khôi</t>
        </is>
      </c>
      <c r="F7" s="6" t="inlineStr">
        <is>
          <t>Medium</t>
        </is>
      </c>
      <c r="G7"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7" s="6" t="inlineStr">
        <is>
          <t>sprint-4/fe-khoi</t>
        </is>
      </c>
      <c r="I7" s="6" t="inlineStr">
        <is>
          <t>05/11/2026</t>
        </is>
      </c>
      <c r="J7" s="6" t="inlineStr">
        <is>
          <t>08/11/2026</t>
        </is>
      </c>
      <c r="K7" s="6" t="inlineStr">
        <is>
          <t>To Do</t>
        </is>
      </c>
      <c r="L7" s="7" t="inlineStr">
        <is>
          <t>Tab "Hồ sơ HLV" trong trang Hồ sơ (chỉ hiện khi có quyền)</t>
        </is>
      </c>
    </row>
    <row r="8" ht="60" customFormat="1" customHeight="1" s="2">
      <c r="A8" s="6" t="inlineStr">
        <is>
          <t>S4-03</t>
        </is>
      </c>
      <c r="B8" s="6" t="inlineStr">
        <is>
          <t>UC-UM-23</t>
        </is>
      </c>
      <c r="C8" s="7" t="inlineStr">
        <is>
          <t>BE – Danh sách HLV cho hội viên (màn S34 mới): hội viên xem các HLV đang hoạt động dạng thẻ (ảnh, tên, chuyên môn, số lớp đang mở, điểm đánh giá trung bình), lọc theo bộ môn, tìm theo tên.</t>
        </is>
      </c>
      <c r="D8" s="8" t="inlineStr">
        <is>
          <t>BE</t>
        </is>
      </c>
      <c r="E8" s="6" t="inlineStr">
        <is>
          <t>Khôi</t>
        </is>
      </c>
      <c r="F8" s="6" t="inlineStr">
        <is>
          <t>Simple</t>
        </is>
      </c>
      <c r="G8" s="7" t="inlineStr">
        <is>
          <t>BR-S4-02: chỉ hiện tài khoản có quyền dạy lớp, trạng thái ACTIVE và có ít nhất một chuyên môn. Không lộ thông tin nội bộ (role, ngày tạo, trạng thái khoá).</t>
        </is>
      </c>
      <c r="H8" s="6" t="inlineStr">
        <is>
          <t>sprint-4/fe-khoi</t>
        </is>
      </c>
      <c r="I8" s="6" t="inlineStr">
        <is>
          <t>04/11/2026</t>
        </is>
      </c>
      <c r="J8" s="6" t="inlineStr">
        <is>
          <t>07/11/2026</t>
        </is>
      </c>
      <c r="K8" s="6" t="inlineStr">
        <is>
          <t>To Do</t>
        </is>
      </c>
      <c r="L8" s="7" t="inlineStr">
        <is>
          <t>GET /coaches?subjectId=&amp;q=</t>
        </is>
      </c>
    </row>
    <row r="9" ht="60" customFormat="1" customHeight="1" s="2">
      <c r="A9" s="6" t="inlineStr">
        <is>
          <t>S4-04</t>
        </is>
      </c>
      <c r="B9" s="6" t="inlineStr">
        <is>
          <t>UC-UM-23</t>
        </is>
      </c>
      <c r="C9" s="7" t="inlineStr">
        <is>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9" s="8" t="inlineStr">
        <is>
          <t>BE</t>
        </is>
      </c>
      <c r="E9" s="6" t="inlineStr">
        <is>
          <t>Khôi</t>
        </is>
      </c>
      <c r="F9" s="6" t="inlineStr">
        <is>
          <t>Medium</t>
        </is>
      </c>
      <c r="G9" s="7" t="inlineStr">
        <is>
          <t>BR-S4-01: chỉ hiện liên hệ khi HLV bật công tắc. BR-S4-11: nhận xét đánh giá hiển thị ẩn danh (chỉ tên viết tắt). HLV đã nghỉ (LOCKED) → 404 với hội viên.</t>
        </is>
      </c>
      <c r="H9" s="6" t="inlineStr">
        <is>
          <t>sprint-4/fe-khoi</t>
        </is>
      </c>
      <c r="I9" s="6" t="inlineStr">
        <is>
          <t>05/11/2026</t>
        </is>
      </c>
      <c r="J9" s="6" t="inlineStr">
        <is>
          <t>08/11/2026</t>
        </is>
      </c>
      <c r="K9" s="6" t="inlineStr">
        <is>
          <t>To Do</t>
        </is>
      </c>
      <c r="L9" s="7" t="inlineStr">
        <is>
          <t>GET /coaches/:id (lớp đang mở, điểm TB lấy từ bảng course_ratings của Bảo)</t>
        </is>
      </c>
    </row>
    <row r="10" ht="60" customFormat="1" customHeight="1" s="2">
      <c r="A10" s="6" t="inlineStr">
        <is>
          <t>S4-05</t>
        </is>
      </c>
      <c r="B10" s="6" t="inlineStr">
        <is>
          <t>UC-UM-23</t>
        </is>
      </c>
      <c r="C10" s="7" t="inlineStr">
        <is>
          <t>FE – Danh sách HLV cho hội viên (màn S34 mới): hội viên xem các HLV đang hoạt động dạng thẻ (ảnh, tên, chuyên môn, số lớp đang mở, điểm đánh giá trung bình), lọc theo bộ môn, tìm theo tên.</t>
        </is>
      </c>
      <c r="D10" s="8" t="inlineStr">
        <is>
          <t>FE</t>
        </is>
      </c>
      <c r="E10" s="6" t="inlineStr">
        <is>
          <t>Khôi</t>
        </is>
      </c>
      <c r="F10" s="6" t="inlineStr">
        <is>
          <t>Simple</t>
        </is>
      </c>
      <c r="G10" s="7" t="inlineStr">
        <is>
          <t>BR-S4-02: chỉ hiện tài khoản có quyền dạy lớp, trạng thái ACTIVE và có ít nhất một chuyên môn. Không lộ thông tin nội bộ (role, ngày tạo, trạng thái khoá).</t>
        </is>
      </c>
      <c r="H10" s="6" t="inlineStr">
        <is>
          <t>sprint-4/fe-khoi</t>
        </is>
      </c>
      <c r="I10" s="6" t="inlineStr">
        <is>
          <t>06/11/2026</t>
        </is>
      </c>
      <c r="J10" s="6" t="inlineStr">
        <is>
          <t>09/11/2026</t>
        </is>
      </c>
      <c r="K10" s="6" t="inlineStr">
        <is>
          <t>To Do</t>
        </is>
      </c>
      <c r="L10" s="7" t="inlineStr">
        <is>
          <t>Trang "Huấn luyện viên" (S34), đăng ký ở routeRegistry</t>
        </is>
      </c>
    </row>
    <row r="11" ht="60" customFormat="1" customHeight="1" s="2">
      <c r="A11" s="6" t="inlineStr">
        <is>
          <t>S4-06</t>
        </is>
      </c>
      <c r="B11" s="6" t="inlineStr">
        <is>
          <t>UC-UM-23</t>
        </is>
      </c>
      <c r="C11" s="7" t="inlineStr">
        <is>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11" s="8" t="inlineStr">
        <is>
          <t>FE</t>
        </is>
      </c>
      <c r="E11" s="6" t="inlineStr">
        <is>
          <t>Khôi</t>
        </is>
      </c>
      <c r="F11" s="6" t="inlineStr">
        <is>
          <t>Medium</t>
        </is>
      </c>
      <c r="G11" s="7" t="inlineStr">
        <is>
          <t>BR-S4-01: chỉ hiện liên hệ khi HLV bật công tắc. BR-S4-11: nhận xét đánh giá hiển thị ẩn danh (chỉ tên viết tắt). HLV đã nghỉ (LOCKED) → 404 với hội viên.</t>
        </is>
      </c>
      <c r="H11" s="6" t="inlineStr">
        <is>
          <t>sprint-4/fe-khoi</t>
        </is>
      </c>
      <c r="I11" s="6" t="inlineStr">
        <is>
          <t>07/11/2026</t>
        </is>
      </c>
      <c r="J11" s="6" t="inlineStr">
        <is>
          <t>10/11/2026</t>
        </is>
      </c>
      <c r="K11" s="6" t="inlineStr">
        <is>
          <t>To Do</t>
        </is>
      </c>
      <c r="L11" s="7" t="inlineStr">
        <is>
          <t>Trang hồ sơ HLV (S35) + link từ thẻ/chi tiết lớp</t>
        </is>
      </c>
    </row>
    <row r="12" ht="60" customFormat="1" customHeight="1" s="2">
      <c r="A12" s="6" t="inlineStr">
        <is>
          <t>S4-07</t>
        </is>
      </c>
      <c r="B12" s="6" t="inlineStr">
        <is>
          <t>UC-UM-24</t>
        </is>
      </c>
      <c r="C12" s="7" t="inlineStr">
        <is>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2" s="8" t="inlineStr">
        <is>
          <t>BE</t>
        </is>
      </c>
      <c r="E12" s="6" t="inlineStr">
        <is>
          <t>Khôi</t>
        </is>
      </c>
      <c r="F12" s="6" t="inlineStr">
        <is>
          <t>Simple</t>
        </is>
      </c>
      <c r="G12"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2" s="6" t="inlineStr">
        <is>
          <t>sprint-4/fe-khoi</t>
        </is>
      </c>
      <c r="I12" s="6" t="inlineStr">
        <is>
          <t>05/11/2026</t>
        </is>
      </c>
      <c r="J12" s="6" t="inlineStr">
        <is>
          <t>07/11/2026</t>
        </is>
      </c>
      <c r="K12" s="6" t="inlineStr">
        <is>
          <t>To Do</t>
        </is>
      </c>
      <c r="L12" s="7" t="inlineStr">
        <is>
          <t>GET/PUT /me/member-profile; lễ tân sửa hộ qua /members/:id/profile</t>
        </is>
      </c>
    </row>
    <row r="13" ht="60" customFormat="1" customHeight="1" s="2">
      <c r="A13" s="6" t="inlineStr">
        <is>
          <t>S4-08</t>
        </is>
      </c>
      <c r="B13" s="6" t="inlineStr">
        <is>
          <t>UC-UM-24</t>
        </is>
      </c>
      <c r="C13" s="7" t="inlineStr">
        <is>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3" s="8" t="inlineStr">
        <is>
          <t>FE</t>
        </is>
      </c>
      <c r="E13" s="6" t="inlineStr">
        <is>
          <t>Khôi</t>
        </is>
      </c>
      <c r="F13" s="6" t="inlineStr">
        <is>
          <t>Simple</t>
        </is>
      </c>
      <c r="G13"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3" s="6" t="inlineStr">
        <is>
          <t>sprint-4/fe-khoi</t>
        </is>
      </c>
      <c r="I13" s="6" t="inlineStr">
        <is>
          <t>07/11/2026</t>
        </is>
      </c>
      <c r="J13" s="6" t="inlineStr">
        <is>
          <t>09/11/2026</t>
        </is>
      </c>
      <c r="K13" s="6" t="inlineStr">
        <is>
          <t>To Do</t>
        </is>
      </c>
      <c r="L13" s="7" t="inlineStr">
        <is>
          <t>Mục "Hồ sơ tập luyện" trong Hồ sơ + màn S22</t>
        </is>
      </c>
    </row>
    <row r="14" ht="60" customFormat="1" customHeight="1" s="2">
      <c r="A14" s="6" t="inlineStr">
        <is>
          <t>S4-09</t>
        </is>
      </c>
      <c r="B14" s="6" t="inlineStr">
        <is>
          <t>UC-UM-25</t>
        </is>
      </c>
      <c r="C14" s="7" t="inlineStr">
        <is>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4" s="8" t="inlineStr">
        <is>
          <t>BE</t>
        </is>
      </c>
      <c r="E14" s="6" t="inlineStr">
        <is>
          <t>Khôi</t>
        </is>
      </c>
      <c r="F14" s="6" t="inlineStr">
        <is>
          <t>Medium</t>
        </is>
      </c>
      <c r="G14"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4" s="6" t="inlineStr">
        <is>
          <t>sprint-4/fe-khoi</t>
        </is>
      </c>
      <c r="I14" s="6" t="inlineStr">
        <is>
          <t>07/11/2026</t>
        </is>
      </c>
      <c r="J14" s="6" t="inlineStr">
        <is>
          <t>10/11/2026</t>
        </is>
      </c>
      <c r="K14" s="6" t="inlineStr">
        <is>
          <t>To Do</t>
        </is>
      </c>
      <c r="L14" s="7" t="inlineStr">
        <is>
          <t>GET /coach/members, GET /coach/members/:id — test 403 ngoài phạm vi</t>
        </is>
      </c>
    </row>
    <row r="15" ht="60" customFormat="1" customHeight="1" s="2">
      <c r="A15" s="6" t="inlineStr">
        <is>
          <t>S4-10</t>
        </is>
      </c>
      <c r="B15" s="6" t="inlineStr">
        <is>
          <t>UC-UM-25</t>
        </is>
      </c>
      <c r="C15" s="7" t="inlineStr">
        <is>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5" s="8" t="inlineStr">
        <is>
          <t>FE</t>
        </is>
      </c>
      <c r="E15" s="6" t="inlineStr">
        <is>
          <t>Khôi</t>
        </is>
      </c>
      <c r="F15" s="6" t="inlineStr">
        <is>
          <t>Medium</t>
        </is>
      </c>
      <c r="G15"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5" s="6" t="inlineStr">
        <is>
          <t>sprint-4/fe-khoi</t>
        </is>
      </c>
      <c r="I15" s="6" t="inlineStr">
        <is>
          <t>09/11/2026</t>
        </is>
      </c>
      <c r="J15" s="6" t="inlineStr">
        <is>
          <t>12/11/2026</t>
        </is>
      </c>
      <c r="K15" s="6" t="inlineStr">
        <is>
          <t>To Do</t>
        </is>
      </c>
      <c r="L15" s="7" t="inlineStr">
        <is>
          <t>Màn "Học viên của tôi" + drawer hồ sơ học viên từ danh sách lớp / điểm danh</t>
        </is>
      </c>
    </row>
    <row r="16" ht="60" customFormat="1" customHeight="1" s="2">
      <c r="A16" s="6" t="inlineStr">
        <is>
          <t>S4-11</t>
        </is>
      </c>
      <c r="B16" s="6" t="inlineStr">
        <is>
          <t>UC-TR-05</t>
        </is>
      </c>
      <c r="C16" s="7" t="inlineStr">
        <is>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is>
      </c>
      <c r="D16" s="8" t="inlineStr">
        <is>
          <t>BE</t>
        </is>
      </c>
      <c r="E16" s="6" t="inlineStr">
        <is>
          <t>Bảo</t>
        </is>
      </c>
      <c r="F16" s="6" t="inlineStr">
        <is>
          <t>Medium</t>
        </is>
      </c>
      <c r="G16" s="7" t="inlineStr">
        <is>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is>
      </c>
      <c r="H16" s="6" t="inlineStr">
        <is>
          <t>sprint-4/be-bao</t>
        </is>
      </c>
      <c r="I16" s="6" t="inlineStr">
        <is>
          <t>04/11/2026</t>
        </is>
      </c>
      <c r="J16" s="6" t="inlineStr">
        <is>
          <t>06/11/2026</t>
        </is>
      </c>
      <c r="K16" s="6" t="inlineStr">
        <is>
          <t>To Do</t>
        </is>
      </c>
      <c r="L16" s="7" t="inlineStr">
        <is>
          <t>Job đăng ký cùng chỗ với các job hiện có (freeze-resume, nhắc gia hạn)</t>
        </is>
      </c>
    </row>
    <row r="17" ht="60" customFormat="1" customHeight="1" s="2">
      <c r="A17" s="6" t="inlineStr">
        <is>
          <t>S4-12</t>
        </is>
      </c>
      <c r="B17" s="6" t="inlineStr">
        <is>
          <t>UC-TR-05</t>
        </is>
      </c>
      <c r="C17" s="7" t="inlineStr">
        <is>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7" s="8" t="inlineStr">
        <is>
          <t>BE</t>
        </is>
      </c>
      <c r="E17" s="6" t="inlineStr">
        <is>
          <t>Bảo</t>
        </is>
      </c>
      <c r="F17" s="6" t="inlineStr">
        <is>
          <t>Complex</t>
        </is>
      </c>
      <c r="G17"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7" s="6" t="inlineStr">
        <is>
          <t>sprint-4/be-bao</t>
        </is>
      </c>
      <c r="I17" s="6" t="inlineStr">
        <is>
          <t>05/11/2026</t>
        </is>
      </c>
      <c r="J17" s="6" t="inlineStr">
        <is>
          <t>09/11/2026</t>
        </is>
      </c>
      <c r="K17" s="6" t="inlineStr">
        <is>
          <t>To Do</t>
        </is>
      </c>
      <c r="L17" s="7" t="inlineStr">
        <is>
          <t>GET /classes/:id/summary, PUT /classes/:id/summary/items/:itemId</t>
        </is>
      </c>
    </row>
    <row r="18" ht="60" customFormat="1" customHeight="1" s="2">
      <c r="A18" s="6" t="inlineStr">
        <is>
          <t>S4-13</t>
        </is>
      </c>
      <c r="B18" s="6" t="inlineStr">
        <is>
          <t>UC-TR-05</t>
        </is>
      </c>
      <c r="C18" s="7" t="inlineStr">
        <is>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8" s="8" t="inlineStr">
        <is>
          <t>FE</t>
        </is>
      </c>
      <c r="E18" s="6" t="inlineStr">
        <is>
          <t>Khải</t>
        </is>
      </c>
      <c r="F18" s="6" t="inlineStr">
        <is>
          <t>Complex</t>
        </is>
      </c>
      <c r="G18"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8" s="6" t="inlineStr">
        <is>
          <t>sprint-4/fe-khai</t>
        </is>
      </c>
      <c r="I18" s="6" t="inlineStr">
        <is>
          <t>05/11/2026</t>
        </is>
      </c>
      <c r="J18" s="6" t="inlineStr">
        <is>
          <t>10/11/2026</t>
        </is>
      </c>
      <c r="K18" s="6" t="inlineStr">
        <is>
          <t>To Do</t>
        </is>
      </c>
      <c r="L18" s="7" t="inlineStr">
        <is>
          <t>Màn S37, làm theo contract trước, giả lập dữ liệu nếu BE chưa xong</t>
        </is>
      </c>
    </row>
    <row r="19" ht="60" customFormat="1" customHeight="1" s="2">
      <c r="A19" s="6" t="inlineStr">
        <is>
          <t>S4-14</t>
        </is>
      </c>
      <c r="B19" s="6" t="inlineStr">
        <is>
          <t>UC-TR-05</t>
        </is>
      </c>
      <c r="C19" s="7" t="inlineStr">
        <is>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19" s="8" t="inlineStr">
        <is>
          <t>BE</t>
        </is>
      </c>
      <c r="E19" s="6" t="inlineStr">
        <is>
          <t>Bảo</t>
        </is>
      </c>
      <c r="F19" s="6" t="inlineStr">
        <is>
          <t>Medium</t>
        </is>
      </c>
      <c r="G19"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19" s="6" t="inlineStr">
        <is>
          <t>sprint-4/be-bao</t>
        </is>
      </c>
      <c r="I19" s="6" t="inlineStr">
        <is>
          <t>08/11/2026</t>
        </is>
      </c>
      <c r="J19" s="6" t="inlineStr">
        <is>
          <t>10/11/2026</t>
        </is>
      </c>
      <c r="K19" s="6" t="inlineStr">
        <is>
          <t>To Do</t>
        </is>
      </c>
      <c r="L19" s="7" t="inlineStr">
        <is>
          <t>POST /classes/:id/summary/publish, POST /classes/:id/summary/reopen</t>
        </is>
      </c>
    </row>
    <row r="20" ht="60" customFormat="1" customHeight="1" s="2">
      <c r="A20" s="6" t="inlineStr">
        <is>
          <t>S4-15</t>
        </is>
      </c>
      <c r="B20" s="6" t="inlineStr">
        <is>
          <t>UC-TR-05</t>
        </is>
      </c>
      <c r="C20" s="7" t="inlineStr">
        <is>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20" s="8" t="inlineStr">
        <is>
          <t>FE</t>
        </is>
      </c>
      <c r="E20" s="6" t="inlineStr">
        <is>
          <t>Khải</t>
        </is>
      </c>
      <c r="F20" s="6" t="inlineStr">
        <is>
          <t>Medium</t>
        </is>
      </c>
      <c r="G20"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20" s="6" t="inlineStr">
        <is>
          <t>sprint-4/fe-khai</t>
        </is>
      </c>
      <c r="I20" s="6" t="inlineStr">
        <is>
          <t>09/11/2026</t>
        </is>
      </c>
      <c r="J20" s="6" t="inlineStr">
        <is>
          <t>11/11/2026</t>
        </is>
      </c>
      <c r="K20" s="6" t="inlineStr">
        <is>
          <t>To Do</t>
        </is>
      </c>
      <c r="L20" s="7" t="inlineStr">
        <is>
          <t>Nút Công bố + hộp xác nhận cảnh báo buổi chưa điểm danh; nút Mở lại cho quản lý</t>
        </is>
      </c>
    </row>
    <row r="21" ht="60" customFormat="1" customHeight="1" s="2">
      <c r="A21" s="6" t="inlineStr">
        <is>
          <t>S4-16</t>
        </is>
      </c>
      <c r="B21" s="6" t="inlineStr">
        <is>
          <t>UC-TR-06</t>
        </is>
      </c>
      <c r="C21" s="7" t="inlineStr">
        <is>
          <t>BE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1" s="8" t="inlineStr">
        <is>
          <t>BE</t>
        </is>
      </c>
      <c r="E21" s="6" t="inlineStr">
        <is>
          <t>Bảo</t>
        </is>
      </c>
      <c r="F21" s="6" t="inlineStr">
        <is>
          <t>Medium</t>
        </is>
      </c>
      <c r="G21" s="7" t="inlineStr">
        <is>
          <t>Chỉ thấy tổng kết đã công bố của chính mình. PDF dùng lại khung mẫu hoá đơn PDF (UC-PAY-07): logo, thông tin trung tâm, khoá, HLV, chuyên cần, kết quả, nhận xét, mã tra cứu.</t>
        </is>
      </c>
      <c r="H21" s="6" t="inlineStr">
        <is>
          <t>sprint-4/be-bao</t>
        </is>
      </c>
      <c r="I21" s="6" t="inlineStr">
        <is>
          <t>09/11/2026</t>
        </is>
      </c>
      <c r="J21" s="6" t="inlineStr">
        <is>
          <t>11/11/2026</t>
        </is>
      </c>
      <c r="K21" s="6" t="inlineStr">
        <is>
          <t>To Do</t>
        </is>
      </c>
      <c r="L21" s="7" t="inlineStr">
        <is>
          <t>GET /me/course-results, GET /me/course-results/:id/pdf</t>
        </is>
      </c>
    </row>
    <row r="22" ht="60" customFormat="1" customHeight="1" s="2">
      <c r="A22" s="6" t="inlineStr">
        <is>
          <t>S4-17</t>
        </is>
      </c>
      <c r="B22" s="6" t="inlineStr">
        <is>
          <t>UC-TR-06</t>
        </is>
      </c>
      <c r="C22" s="7" t="inlineStr">
        <is>
          <t>FE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2" s="8" t="inlineStr">
        <is>
          <t>FE</t>
        </is>
      </c>
      <c r="E22" s="6" t="inlineStr">
        <is>
          <t>Khải</t>
        </is>
      </c>
      <c r="F22" s="6" t="inlineStr">
        <is>
          <t>Medium</t>
        </is>
      </c>
      <c r="G22" s="7" t="inlineStr">
        <is>
          <t>Chỉ thấy tổng kết đã công bố của chính mình. PDF dùng lại khung mẫu hoá đơn PDF (UC-PAY-07): logo, thông tin trung tâm, khoá, HLV, chuyên cần, kết quả, nhận xét, mã tra cứu.</t>
        </is>
      </c>
      <c r="H22" s="6" t="inlineStr">
        <is>
          <t>sprint-4/fe-khai</t>
        </is>
      </c>
      <c r="I22" s="6" t="inlineStr">
        <is>
          <t>10/11/2026</t>
        </is>
      </c>
      <c r="J22" s="6" t="inlineStr">
        <is>
          <t>12/11/2026</t>
        </is>
      </c>
      <c r="K22" s="6" t="inlineStr">
        <is>
          <t>To Do</t>
        </is>
      </c>
      <c r="L22" s="7" t="inlineStr">
        <is>
          <t>Mục "Khoá học đã hoàn thành" trong Hồ sơ (S38)</t>
        </is>
      </c>
    </row>
    <row r="23" ht="60" customFormat="1" customHeight="1" s="2">
      <c r="A23" s="6" t="inlineStr">
        <is>
          <t>S4-18</t>
        </is>
      </c>
      <c r="B23" s="6" t="inlineStr">
        <is>
          <t>UC-TR-07</t>
        </is>
      </c>
      <c r="C23" s="7" t="inlineStr">
        <is>
          <t>BE – Hội viên đánh giá khoá học và HLV: sau khi khoá kết thúc, hội viên chấm 1–5 sao cho khoá và cho HLV kèm nhận xét; sửa được trong thời hạn. Điểm trung bình hiện ở hồ sơ HLV (UC-UM-23) và báo cáo tổng kết khoá (UC-RPT-03).</t>
        </is>
      </c>
      <c r="D23" s="8" t="inlineStr">
        <is>
          <t>BE</t>
        </is>
      </c>
      <c r="E23" s="6" t="inlineStr">
        <is>
          <t>Bảo</t>
        </is>
      </c>
      <c r="F23" s="6" t="inlineStr">
        <is>
          <t>Medium</t>
        </is>
      </c>
      <c r="G23"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3" s="6" t="inlineStr">
        <is>
          <t>sprint-4/be-bao</t>
        </is>
      </c>
      <c r="I23" s="6" t="inlineStr">
        <is>
          <t>10/11/2026</t>
        </is>
      </c>
      <c r="J23" s="6" t="inlineStr">
        <is>
          <t>12/11/2026</t>
        </is>
      </c>
      <c r="K23" s="6" t="inlineStr">
        <is>
          <t>To Do</t>
        </is>
      </c>
      <c r="L23" s="7" t="inlineStr">
        <is>
          <t>POST/PUT /classes/:id/ratings, GET /coaches/:id/ratings</t>
        </is>
      </c>
    </row>
    <row r="24" ht="60" customFormat="1" customHeight="1" s="2">
      <c r="A24" s="6" t="inlineStr">
        <is>
          <t>S4-19</t>
        </is>
      </c>
      <c r="B24" s="6" t="inlineStr">
        <is>
          <t>UC-TR-07</t>
        </is>
      </c>
      <c r="C24" s="7" t="inlineStr">
        <is>
          <t>FE – Hội viên đánh giá khoá học và HLV: sau khi khoá kết thúc, hội viên chấm 1–5 sao cho khoá và cho HLV kèm nhận xét; sửa được trong thời hạn. Điểm trung bình hiện ở hồ sơ HLV (UC-UM-23) và báo cáo tổng kết khoá (UC-RPT-03).</t>
        </is>
      </c>
      <c r="D24" s="8" t="inlineStr">
        <is>
          <t>FE</t>
        </is>
      </c>
      <c r="E24" s="6" t="inlineStr">
        <is>
          <t>Khải</t>
        </is>
      </c>
      <c r="F24" s="6" t="inlineStr">
        <is>
          <t>Medium</t>
        </is>
      </c>
      <c r="G24"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4" s="6" t="inlineStr">
        <is>
          <t>sprint-4/fe-khai</t>
        </is>
      </c>
      <c r="I24" s="6" t="inlineStr">
        <is>
          <t>11/11/2026</t>
        </is>
      </c>
      <c r="J24" s="6" t="inlineStr">
        <is>
          <t>13/11/2026</t>
        </is>
      </c>
      <c r="K24" s="6" t="inlineStr">
        <is>
          <t>To Do</t>
        </is>
      </c>
      <c r="L24" s="7" t="inlineStr">
        <is>
          <t>Form đánh giá trong S38; khối đánh giá trên hồ sơ HLV phối hợp với Khôi</t>
        </is>
      </c>
    </row>
    <row r="25" ht="60" customFormat="1" customHeight="1" s="2">
      <c r="A25" s="6" t="inlineStr">
        <is>
          <t>S4-20</t>
        </is>
      </c>
      <c r="B25" s="6" t="inlineStr">
        <is>
          <t>UC-RPT-03</t>
        </is>
      </c>
      <c r="C25" s="7" t="inlineStr">
        <is>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5" s="8" t="inlineStr">
        <is>
          <t>BE</t>
        </is>
      </c>
      <c r="E25" s="6" t="inlineStr">
        <is>
          <t>Bảo</t>
        </is>
      </c>
      <c r="F25" s="6" t="inlineStr">
        <is>
          <t>Medium</t>
        </is>
      </c>
      <c r="G25" s="7" t="inlineStr">
        <is>
          <t>Quyền COURSE_SUMMARY_VIEW_ALL (report.view không đủ). Khoảng thời gian tối đa theo REPORT_MAX_DAYS hiện có. Số liệu từ cùng một truy vấn cho màn hình và file xuất.</t>
        </is>
      </c>
      <c r="H25" s="6" t="inlineStr">
        <is>
          <t>sprint-4/be-bao</t>
        </is>
      </c>
      <c r="I25" s="6" t="inlineStr">
        <is>
          <t>11/11/2026</t>
        </is>
      </c>
      <c r="J25" s="6" t="inlineStr">
        <is>
          <t>13/11/2026</t>
        </is>
      </c>
      <c r="K25" s="6" t="inlineStr">
        <is>
          <t>To Do</t>
        </is>
      </c>
      <c r="L25" s="7" t="inlineStr">
        <is>
          <t>GET /reports/course-summaries + xuất Excel</t>
        </is>
      </c>
    </row>
    <row r="26" ht="60" customFormat="1" customHeight="1" s="2">
      <c r="A26" s="6" t="inlineStr">
        <is>
          <t>S4-21</t>
        </is>
      </c>
      <c r="B26" s="6" t="inlineStr">
        <is>
          <t>UC-RPT-03</t>
        </is>
      </c>
      <c r="C26" s="7" t="inlineStr">
        <is>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6" s="8" t="inlineStr">
        <is>
          <t>FE</t>
        </is>
      </c>
      <c r="E26" s="6" t="inlineStr">
        <is>
          <t>Khải</t>
        </is>
      </c>
      <c r="F26" s="6" t="inlineStr">
        <is>
          <t>Medium</t>
        </is>
      </c>
      <c r="G26" s="7" t="inlineStr">
        <is>
          <t>Quyền COURSE_SUMMARY_VIEW_ALL (report.view không đủ). Khoảng thời gian tối đa theo REPORT_MAX_DAYS hiện có. Số liệu từ cùng một truy vấn cho màn hình và file xuất.</t>
        </is>
      </c>
      <c r="H26" s="6" t="inlineStr">
        <is>
          <t>sprint-4/fe-khai</t>
        </is>
      </c>
      <c r="I26" s="6" t="inlineStr">
        <is>
          <t>12/11/2026</t>
        </is>
      </c>
      <c r="J26" s="6" t="inlineStr">
        <is>
          <t>14/11/2026</t>
        </is>
      </c>
      <c r="K26" s="6" t="inlineStr">
        <is>
          <t>To Do</t>
        </is>
      </c>
      <c r="L26" s="7" t="inlineStr">
        <is>
          <t>Tab "Tổng kết khoá" trong trang Báo cáo</t>
        </is>
      </c>
    </row>
    <row r="27" ht="60" customFormat="1" customHeight="1" s="2">
      <c r="A27" s="6" t="inlineStr">
        <is>
          <t>S4-22</t>
        </is>
      </c>
      <c r="B27" s="6" t="inlineStr">
        <is>
          <t>UC-RPT-02</t>
        </is>
      </c>
      <c r="C27" s="7" t="inlineStr">
        <is>
          <t>BE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7" s="8" t="inlineStr">
        <is>
          <t>BE</t>
        </is>
      </c>
      <c r="E27" s="6" t="inlineStr">
        <is>
          <t>Bảo</t>
        </is>
      </c>
      <c r="F27" s="6" t="inlineStr">
        <is>
          <t>Medium</t>
        </is>
      </c>
      <c r="G27"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7" s="6" t="inlineStr">
        <is>
          <t>sprint-4/be-bao</t>
        </is>
      </c>
      <c r="I27" s="6" t="inlineStr">
        <is>
          <t>04/11/2026</t>
        </is>
      </c>
      <c r="J27" s="6" t="inlineStr">
        <is>
          <t>07/11/2026</t>
        </is>
      </c>
      <c r="K27" s="6" t="inlineStr">
        <is>
          <t>To Do</t>
        </is>
      </c>
      <c r="L27" s="7" t="inlineStr">
        <is>
          <t>Tham số groupBy=day|week|month|quarter|year; hàm chia kỳ dùng chung cho #123 · Chuyển từ Nhanh sang Bảo theo phân công 29/10/2026.</t>
        </is>
      </c>
    </row>
    <row r="28" ht="60" customFormat="1" customHeight="1" s="2">
      <c r="A28" s="6" t="inlineStr">
        <is>
          <t>S4-23</t>
        </is>
      </c>
      <c r="B28" s="6" t="inlineStr">
        <is>
          <t>UC-RPT-02</t>
        </is>
      </c>
      <c r="C28" s="7" t="inlineStr">
        <is>
          <t>FE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8" s="8" t="inlineStr">
        <is>
          <t>FE</t>
        </is>
      </c>
      <c r="E28" s="6" t="inlineStr">
        <is>
          <t>Bảo</t>
        </is>
      </c>
      <c r="F28" s="6" t="inlineStr">
        <is>
          <t>Medium</t>
        </is>
      </c>
      <c r="G28"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8" s="6" t="inlineStr">
        <is>
          <t>sprint-4/be-bao</t>
        </is>
      </c>
      <c r="I28" s="6" t="inlineStr">
        <is>
          <t>06/11/2026</t>
        </is>
      </c>
      <c r="J28" s="6" t="inlineStr">
        <is>
          <t>09/11/2026</t>
        </is>
      </c>
      <c r="K28" s="6" t="inlineStr">
        <is>
          <t>To Do</t>
        </is>
      </c>
      <c r="L28" s="7" t="inlineStr">
        <is>
          <t>Bộ chọn nhóm + khoảng nhanh, biểu đồ cột · Chuyển từ Nhanh sang Bảo theo phân công 29/10/2026.</t>
        </is>
      </c>
    </row>
    <row r="29" ht="60" customFormat="1" customHeight="1" s="2">
      <c r="A29" s="6" t="inlineStr">
        <is>
          <t>S4-24</t>
        </is>
      </c>
      <c r="B29" s="6" t="inlineStr">
        <is>
          <t>UC-RPT-02</t>
        </is>
      </c>
      <c r="C29" s="7" t="inlineStr">
        <is>
          <t>BE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29" s="8" t="inlineStr">
        <is>
          <t>BE</t>
        </is>
      </c>
      <c r="E29" s="6" t="inlineStr">
        <is>
          <t>Bảo</t>
        </is>
      </c>
      <c r="F29" s="6" t="inlineStr">
        <is>
          <t>Complex</t>
        </is>
      </c>
      <c r="G29" s="7" t="inlineStr">
        <is>
          <t>BR-S4-13: kỳ trước bằng 0 thì hiện "—" thay vì vô cực. BR-S4-15: tổng các phần cơ cấu phải bằng doanh thu thuần của kỳ (có test BE). Hoá đơn ADJUSTMENT tính vào nhóm "chênh lệch", không cộng vào gói/khoá gốc.</t>
        </is>
      </c>
      <c r="H29" s="6" t="inlineStr">
        <is>
          <t>sprint-4/be-bao</t>
        </is>
      </c>
      <c r="I29" s="6" t="inlineStr">
        <is>
          <t>07/11/2026</t>
        </is>
      </c>
      <c r="J29" s="6" t="inlineStr">
        <is>
          <t>11/11/2026</t>
        </is>
      </c>
      <c r="K29" s="6" t="inlineStr">
        <is>
          <t>To Do</t>
        </is>
      </c>
      <c r="L29" s="7" t="inlineStr">
        <is>
          <t>compare=previous, breakdown theo loại hoá đơn/kênh/gói/lớp/bộ môn · Chuyển từ Nhanh sang Bảo theo phân công 29/10/2026.</t>
        </is>
      </c>
    </row>
    <row r="30" ht="60" customFormat="1" customHeight="1" s="2">
      <c r="A30" s="6" t="inlineStr">
        <is>
          <t>S4-25</t>
        </is>
      </c>
      <c r="B30" s="6" t="inlineStr">
        <is>
          <t>UC-RPT-02</t>
        </is>
      </c>
      <c r="C30" s="7" t="inlineStr">
        <is>
          <t>FE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30" s="8" t="inlineStr">
        <is>
          <t>FE</t>
        </is>
      </c>
      <c r="E30" s="6" t="inlineStr">
        <is>
          <t>Bảo</t>
        </is>
      </c>
      <c r="F30" s="6" t="inlineStr">
        <is>
          <t>Complex</t>
        </is>
      </c>
      <c r="G30" s="7" t="inlineStr">
        <is>
          <t>BR-S4-13: kỳ trước bằng 0 thì hiện "—" thay vì vô cực. BR-S4-15: tổng các phần cơ cấu phải bằng doanh thu thuần của kỳ (có test BE). Hoá đơn ADJUSTMENT tính vào nhóm "chênh lệch", không cộng vào gói/khoá gốc.</t>
        </is>
      </c>
      <c r="H30" s="6" t="inlineStr">
        <is>
          <t>sprint-4/be-bao</t>
        </is>
      </c>
      <c r="I30" s="6" t="inlineStr">
        <is>
          <t>10/11/2026</t>
        </is>
      </c>
      <c r="J30" s="6" t="inlineStr">
        <is>
          <t>12/11/2026</t>
        </is>
      </c>
      <c r="K30" s="6" t="inlineStr">
        <is>
          <t>To Do</t>
        </is>
      </c>
      <c r="L30" s="7" t="inlineStr">
        <is>
          <t>Thẻ KPI có % so với kỳ trước, biểu đồ cơ cấu, bảng top · Chuyển từ Nhanh sang Bảo theo phân công 29/10/2026.</t>
        </is>
      </c>
    </row>
    <row r="31" ht="60" customFormat="1" customHeight="1" s="2">
      <c r="A31" s="6" t="inlineStr">
        <is>
          <t>S4-26</t>
        </is>
      </c>
      <c r="B31" s="6" t="inlineStr">
        <is>
          <t>UC-RPT-04</t>
        </is>
      </c>
      <c r="C31" s="7" t="inlineStr">
        <is>
          <t>BE – Báo cáo hội viên và đăng ký theo thời gian (màn 17, tab mới): theo cùng nhóm ngày/tuần/tháng/quý/năm — số hội viên mới, kỳ gói đang hiệu lực, đăng ký khoá học mới, số huỷ gói/huỷ khoá, tỉ lệ lấp đầy lớp.</t>
        </is>
      </c>
      <c r="D31" s="8" t="inlineStr">
        <is>
          <t>BE</t>
        </is>
      </c>
      <c r="E31" s="6" t="inlineStr">
        <is>
          <t>Bảo</t>
        </is>
      </c>
      <c r="F31" s="6" t="inlineStr">
        <is>
          <t>Medium</t>
        </is>
      </c>
      <c r="G31" s="7" t="inlineStr">
        <is>
          <t>Đáp ứng yêu cầu đề tài "báo cáo số lượng thành viên, tình trạng đăng ký lớp và doanh thu theo thời gian". Dùng chung bộ lọc và hàm chia kỳ với UC-RPT-02 (không viết lại).</t>
        </is>
      </c>
      <c r="H31" s="6" t="inlineStr">
        <is>
          <t>sprint-4/be-bao</t>
        </is>
      </c>
      <c r="I31" s="6" t="inlineStr">
        <is>
          <t>06/11/2026</t>
        </is>
      </c>
      <c r="J31" s="6" t="inlineStr">
        <is>
          <t>09/11/2026</t>
        </is>
      </c>
      <c r="K31" s="6" t="inlineStr">
        <is>
          <t>To Do</t>
        </is>
      </c>
      <c r="L31" s="7" t="inlineStr">
        <is>
          <t>Tách file report-member.service.js, dùng hàm chia kỳ của S4-22</t>
        </is>
      </c>
    </row>
    <row r="32" ht="60" customFormat="1" customHeight="1" s="2">
      <c r="A32" s="6" t="inlineStr">
        <is>
          <t>S4-27</t>
        </is>
      </c>
      <c r="B32" s="6" t="inlineStr">
        <is>
          <t>UC-RPT-04</t>
        </is>
      </c>
      <c r="C32" s="7" t="inlineStr">
        <is>
          <t>FE – Báo cáo hội viên và đăng ký theo thời gian (màn 17, tab mới): theo cùng nhóm ngày/tuần/tháng/quý/năm — số hội viên mới, kỳ gói đang hiệu lực, đăng ký khoá học mới, số huỷ gói/huỷ khoá, tỉ lệ lấp đầy lớp.</t>
        </is>
      </c>
      <c r="D32" s="8" t="inlineStr">
        <is>
          <t>FE</t>
        </is>
      </c>
      <c r="E32" s="6" t="inlineStr">
        <is>
          <t>Bảo</t>
        </is>
      </c>
      <c r="F32" s="6" t="inlineStr">
        <is>
          <t>Medium</t>
        </is>
      </c>
      <c r="G32" s="7" t="inlineStr">
        <is>
          <t>Đáp ứng yêu cầu đề tài "báo cáo số lượng thành viên, tình trạng đăng ký lớp và doanh thu theo thời gian". Dùng chung bộ lọc và hàm chia kỳ với UC-RPT-02 (không viết lại).</t>
        </is>
      </c>
      <c r="H32" s="6" t="inlineStr">
        <is>
          <t>sprint-4/be-bao</t>
        </is>
      </c>
      <c r="I32" s="6" t="inlineStr">
        <is>
          <t>11/11/2026</t>
        </is>
      </c>
      <c r="J32" s="6" t="inlineStr">
        <is>
          <t>13/11/2026</t>
        </is>
      </c>
      <c r="K32" s="6" t="inlineStr">
        <is>
          <t>To Do</t>
        </is>
      </c>
      <c r="L32" s="7" t="inlineStr">
        <is>
          <t>Tab "Hội viên &amp; đăng ký" trong Báo cáo · Chuyển từ Nhanh sang Bảo theo phân công 29/10/2026.</t>
        </is>
      </c>
    </row>
    <row r="33" ht="60" customFormat="1" customHeight="1" s="2">
      <c r="A33" s="6" t="inlineStr">
        <is>
          <t>S4-28</t>
        </is>
      </c>
      <c r="B33" s="6" t="inlineStr">
        <is>
          <t>UC-RPT-01</t>
        </is>
      </c>
      <c r="C33" s="7" t="inlineStr">
        <is>
          <t>BE – Xuất báo cáo theo nhóm thời gian (sửa UC-RPT-01): PDF/CSV/Excel giữ đúng nhóm kỳ, phần so sánh kỳ trước và cơ cấu doanh thu như trên màn hình.</t>
        </is>
      </c>
      <c r="D33" s="8" t="inlineStr">
        <is>
          <t>BE</t>
        </is>
      </c>
      <c r="E33" s="6" t="inlineStr">
        <is>
          <t>Bảo</t>
        </is>
      </c>
      <c r="F33" s="6" t="inlineStr">
        <is>
          <t>Simple</t>
        </is>
      </c>
      <c r="G33" s="7" t="inlineStr">
        <is>
          <t>Cùng dữ liệu và công thức với dashboard (một hàm build dùng chung, như buildRevenue hiện tại).</t>
        </is>
      </c>
      <c r="H33" s="6" t="inlineStr">
        <is>
          <t>sprint-4/be-bao</t>
        </is>
      </c>
      <c r="I33" s="6" t="inlineStr">
        <is>
          <t>12/11/2026</t>
        </is>
      </c>
      <c r="J33" s="6" t="inlineStr">
        <is>
          <t>13/11/2026</t>
        </is>
      </c>
      <c r="K33" s="6" t="inlineStr">
        <is>
          <t>To Do</t>
        </is>
      </c>
      <c r="L33" s="7" t="inlineStr">
        <is>
          <t>Sửa report-export.service.js · Chuyển từ Nhanh sang Bảo theo phân công 29/10/2026.</t>
        </is>
      </c>
    </row>
    <row r="34" ht="60" customFormat="1" customHeight="1" s="2">
      <c r="A34" s="6" t="inlineStr">
        <is>
          <t>S4-29</t>
        </is>
      </c>
      <c r="B34" s="6" t="inlineStr">
        <is>
          <t>Kiểm thử</t>
        </is>
      </c>
      <c r="C34" s="7" t="inlineStr">
        <is>
          <t>Kiểm thử – E2E Playwright tổng kết khoá, đánh giá, báo cáo doanh thu theo thời gian, xuất file.</t>
        </is>
      </c>
      <c r="D34" s="8" t="inlineStr">
        <is>
          <t>Test</t>
        </is>
      </c>
      <c r="E34" s="6" t="inlineStr">
        <is>
          <t>Khải</t>
        </is>
      </c>
      <c r="F34" s="6" t="inlineStr">
        <is>
          <t>Medium</t>
        </is>
      </c>
      <c r="G34" s="7" t="inlineStr">
        <is>
          <t>Chạy trên npm run db:demo; E2E cũ phải pass.</t>
        </is>
      </c>
      <c r="H34" s="6" t="inlineStr">
        <is>
          <t>sprint-4/fe-khai</t>
        </is>
      </c>
      <c r="I34" s="6" t="inlineStr">
        <is>
          <t>12/11/2026</t>
        </is>
      </c>
      <c r="J34" s="6" t="inlineStr">
        <is>
          <t>15/11/2026</t>
        </is>
      </c>
      <c r="K34" s="6" t="inlineStr">
        <is>
          <t>To Do</t>
        </is>
      </c>
      <c r="L34" s="7" t="inlineStr">
        <is>
          <t>#125</t>
        </is>
      </c>
    </row>
    <row r="35" ht="60" customFormat="1" customHeight="1" s="2">
      <c r="A35" s="6" t="inlineStr">
        <is>
          <t>S4-30</t>
        </is>
      </c>
      <c r="B35" s="6" t="inlineStr">
        <is>
          <t>Kiểm thử</t>
        </is>
      </c>
      <c r="C35" s="7" t="inlineStr">
        <is>
          <t>Kiểm thử – E2E Playwright hồ sơ HLV, hồ sơ hội viên, HLV xem hồ sơ học viên (trong và ngoài phạm vi).</t>
        </is>
      </c>
      <c r="D35" s="8" t="inlineStr">
        <is>
          <t>Test</t>
        </is>
      </c>
      <c r="E35" s="6" t="inlineStr">
        <is>
          <t>Khôi</t>
        </is>
      </c>
      <c r="F35" s="6" t="inlineStr">
        <is>
          <t>Simple</t>
        </is>
      </c>
      <c r="G35" s="7" t="inlineStr">
        <is>
          <t>BR-S4-03: kiểm tra 403 khi HLV mở hồ sơ hội viên không học lớp mình.</t>
        </is>
      </c>
      <c r="H35" s="6" t="inlineStr">
        <is>
          <t>sprint-4/fe-khoi</t>
        </is>
      </c>
      <c r="I35" s="6" t="inlineStr">
        <is>
          <t>12/11/2026</t>
        </is>
      </c>
      <c r="J35" s="6" t="inlineStr">
        <is>
          <t>14/11/2026</t>
        </is>
      </c>
      <c r="K35" s="6" t="inlineStr">
        <is>
          <t>To Do</t>
        </is>
      </c>
      <c r="L35" s="7" t="inlineStr">
        <is>
          <t>#125</t>
        </is>
      </c>
    </row>
    <row r="36" ht="60" customFormat="1" customHeight="1" s="2">
      <c r="A36" s="6" t="inlineStr">
        <is>
          <t>S4-31</t>
        </is>
      </c>
      <c r="B36" s="6" t="inlineStr">
        <is>
          <t>Kiểm thử</t>
        </is>
      </c>
      <c r="C36" s="7" t="inlineStr">
        <is>
          <t>Kiểm thử – Bổ sung test case Sprint 4 vào docs/kiem-thu/SWP391_TestCase.xlsx và ghi kết quả chạy.</t>
        </is>
      </c>
      <c r="D36" s="8" t="inlineStr">
        <is>
          <t>Test</t>
        </is>
      </c>
      <c r="E36" s="6" t="inlineStr">
        <is>
          <t>Khải</t>
        </is>
      </c>
      <c r="F36" s="6" t="inlineStr">
        <is>
          <t>Simple</t>
        </is>
      </c>
      <c r="G36" s="7" t="inlineStr">
        <is>
          <t>—</t>
        </is>
      </c>
      <c r="H36" s="6" t="inlineStr">
        <is>
          <t>sprint-4/fe-khai</t>
        </is>
      </c>
      <c r="I36" s="6" t="inlineStr">
        <is>
          <t>13/11/2026</t>
        </is>
      </c>
      <c r="J36" s="6" t="inlineStr">
        <is>
          <t>15/11/2026</t>
        </is>
      </c>
      <c r="K36" s="6" t="inlineStr">
        <is>
          <t>To Do</t>
        </is>
      </c>
      <c r="L36" s="7" t="inlineStr">
        <is>
          <t>Khôi viết phần hồ sơ, Khải phần còn lại. #125</t>
        </is>
      </c>
    </row>
    <row r="37" ht="60" customFormat="1" customHeight="1" s="2">
      <c r="A37" s="6" t="inlineStr">
        <is>
          <t>S4-32</t>
        </is>
      </c>
      <c r="B37" s="6" t="inlineStr">
        <is>
          <t>Tài liệu</t>
        </is>
      </c>
      <c r="C37" s="7" t="inlineStr">
        <is>
          <t>Tài liệu – Đặc tả UC-UM-22…25, UC-TR-05…07, UC-RPT-02…04, BR-S4-01…15 vào docs/yeu-cau; ERD bổ sung.</t>
        </is>
      </c>
      <c r="D37" s="8" t="inlineStr">
        <is>
          <t>Docs</t>
        </is>
      </c>
      <c r="E37" s="6" t="inlineStr">
        <is>
          <t>Bảo</t>
        </is>
      </c>
      <c r="F37" s="6" t="inlineStr">
        <is>
          <t>Simple</t>
        </is>
      </c>
      <c r="G37" s="7" t="inlineStr">
        <is>
          <t>—</t>
        </is>
      </c>
      <c r="H37" s="6" t="inlineStr">
        <is>
          <t>sprint-4/be-bao</t>
        </is>
      </c>
      <c r="I37" s="6" t="inlineStr">
        <is>
          <t>12/11/2026</t>
        </is>
      </c>
      <c r="J37" s="6" t="inlineStr">
        <is>
          <t>15/11/2026</t>
        </is>
      </c>
      <c r="K37" s="6" t="inlineStr">
        <is>
          <t>To Do</t>
        </is>
      </c>
      <c r="L37" s="7" t="inlineStr">
        <is>
          <t>#126</t>
        </is>
      </c>
    </row>
    <row r="38" ht="60" customFormat="1" customHeight="1" s="2">
      <c r="A38" s="6" t="inlineStr">
        <is>
          <t>S4-33</t>
        </is>
      </c>
      <c r="B38" s="6" t="inlineStr">
        <is>
          <t>Tài liệu</t>
        </is>
      </c>
      <c r="C38" s="7" t="inlineStr">
        <is>
          <t>Tài liệu – Seed demo Sprint 4: khoá đã kết thúc có/chưa có tổng kết, đánh giá, hồ sơ HLV/hội viên đầy đủ, doanh thu rải 12 tháng để xem theo tháng/quý.</t>
        </is>
      </c>
      <c r="D38" s="8" t="inlineStr">
        <is>
          <t>BE</t>
        </is>
      </c>
      <c r="E38" s="6" t="inlineStr">
        <is>
          <t>Bảo</t>
        </is>
      </c>
      <c r="F38" s="6" t="inlineStr">
        <is>
          <t>Medium</t>
        </is>
      </c>
      <c r="G38" s="7" t="inlineStr">
        <is>
          <t>—</t>
        </is>
      </c>
      <c r="H38" s="6" t="inlineStr">
        <is>
          <t>sprint-4/be-bao</t>
        </is>
      </c>
      <c r="I38" s="6" t="inlineStr">
        <is>
          <t>10/11/2026</t>
        </is>
      </c>
      <c r="J38" s="6" t="inlineStr">
        <is>
          <t>13/11/2026</t>
        </is>
      </c>
      <c r="K38" s="6" t="inlineStr">
        <is>
          <t>To Do</t>
        </is>
      </c>
      <c r="L38" s="7" t="inlineStr">
        <is>
          <t>#126 · Chuyển từ Nhanh sang Bảo theo phân công 29/10/2026.</t>
        </is>
      </c>
    </row>
    <row r="39" ht="60" customFormat="1" customHeight="1" s="2">
      <c r="A39" s="6" t="inlineStr">
        <is>
          <t>S4-34</t>
        </is>
      </c>
      <c r="B39" s="6" t="inlineStr">
        <is>
          <t>Tài liệu</t>
        </is>
      </c>
      <c r="C39" s="7" t="inlineStr">
        <is>
          <t>Tài liệu – Kịch bản demo cuối kỳ (cập nhật LoTrinh_Demo) và diễn tập cả nhóm.</t>
        </is>
      </c>
      <c r="D39" s="8" t="inlineStr">
        <is>
          <t>Docs</t>
        </is>
      </c>
      <c r="E39" s="6" t="inlineStr">
        <is>
          <t>Bảo</t>
        </is>
      </c>
      <c r="F39" s="6" t="inlineStr">
        <is>
          <t>Simple</t>
        </is>
      </c>
      <c r="G39" s="7" t="inlineStr">
        <is>
          <t>—</t>
        </is>
      </c>
      <c r="H39" s="6" t="inlineStr">
        <is>
          <t>sprint-4/be-bao</t>
        </is>
      </c>
      <c r="I39" s="6" t="inlineStr">
        <is>
          <t>14/11/2026</t>
        </is>
      </c>
      <c r="J39" s="6" t="inlineStr">
        <is>
          <t>15/11/2026</t>
        </is>
      </c>
      <c r="K39" s="6" t="inlineStr">
        <is>
          <t>To Do</t>
        </is>
      </c>
      <c r="L39" s="7" t="inlineStr">
        <is>
          <t>#126. Khoá code 16/11. · Chuyển từ Nhanh sang Bảo theo phân công 29/10/2026.</t>
        </is>
      </c>
    </row>
    <row r="40" customFormat="1" s="2"/>
    <row r="41" customFormat="1" s="2"/>
    <row r="42" customFormat="1" s="2"/>
    <row r="43" customFormat="1" s="2"/>
    <row r="44" customFormat="1" s="2"/>
    <row r="45" customFormat="1" s="2"/>
    <row r="46" customFormat="1" s="2"/>
    <row r="47" customFormat="1" s="2"/>
    <row r="48" customFormat="1" s="2"/>
    <row r="49" customFormat="1" s="2"/>
    <row r="50" customFormat="1" s="2"/>
    <row r="51" customFormat="1" s="2"/>
    <row r="52" customFormat="1" s="2"/>
    <row r="53" customFormat="1" s="2"/>
    <row r="54" customFormat="1" s="2"/>
    <row r="55" customFormat="1" s="2"/>
    <row r="56" customFormat="1" s="2"/>
    <row r="57" customFormat="1" s="2"/>
    <row r="58" customFormat="1" s="2"/>
    <row r="59" customFormat="1" s="2"/>
    <row r="60" customFormat="1" s="2"/>
    <row r="61" customFormat="1" s="2"/>
    <row r="62" customFormat="1" s="2"/>
    <row r="63" customFormat="1" s="2"/>
    <row r="64" customFormat="1" s="2"/>
    <row r="65" customFormat="1" s="2"/>
    <row r="66" customFormat="1" s="2"/>
    <row r="67" customFormat="1" s="2"/>
    <row r="68" customFormat="1" s="2"/>
    <row r="69" customFormat="1" s="2"/>
    <row r="70" customFormat="1" s="2"/>
    <row r="71" customFormat="1" s="2"/>
    <row r="72" customFormat="1" s="2"/>
    <row r="73" customFormat="1" s="2"/>
    <row r="74" customFormat="1" s="2"/>
    <row r="75" customFormat="1" s="2"/>
    <row r="76" customFormat="1" s="2"/>
    <row r="77" customFormat="1" s="2"/>
    <row r="78" customFormat="1" s="2"/>
    <row r="79" customFormat="1" s="2"/>
    <row r="80" customFormat="1" s="2"/>
    <row r="81" customFormat="1" s="2"/>
    <row r="82" customFormat="1" s="2"/>
    <row r="83" customFormat="1" s="2"/>
    <row r="84" customFormat="1" s="2"/>
    <row r="85" customFormat="1" s="2"/>
    <row r="86" customFormat="1" s="2"/>
    <row r="87" customFormat="1" s="2"/>
    <row r="88" customFormat="1" s="2"/>
    <row r="89" customFormat="1" s="2"/>
    <row r="90" customFormat="1" s="2"/>
    <row r="91" customFormat="1" s="2"/>
    <row r="92" customFormat="1" s="2"/>
    <row r="93" customFormat="1" s="2"/>
    <row r="94" customFormat="1" s="2"/>
    <row r="95" customFormat="1" s="2"/>
    <row r="96" customFormat="1" s="2"/>
    <row r="97" customFormat="1" s="2"/>
    <row r="98" customFormat="1" s="2"/>
    <row r="99" customFormat="1" s="2"/>
    <row r="100" customFormat="1" s="2"/>
    <row r="101" customFormat="1" s="2"/>
    <row r="102" customFormat="1" s="2"/>
    <row r="103" customFormat="1" s="2"/>
    <row r="104" customFormat="1" s="2"/>
    <row r="105" customFormat="1" s="2"/>
    <row r="106" customFormat="1" s="2"/>
    <row r="107" customFormat="1" s="2"/>
    <row r="108" customFormat="1" s="2"/>
    <row r="109" customFormat="1" s="2"/>
    <row r="110" customFormat="1" s="2"/>
    <row r="111" customFormat="1" s="2"/>
    <row r="112" customFormat="1" s="2"/>
    <row r="113" customFormat="1" s="2"/>
    <row r="114" customFormat="1" s="2"/>
    <row r="115" customFormat="1" s="2"/>
    <row r="116" customFormat="1" s="2"/>
    <row r="117" customFormat="1" s="2"/>
    <row r="118" customFormat="1" s="2"/>
    <row r="119" customFormat="1" s="2"/>
    <row r="120" customFormat="1" s="2"/>
    <row r="121" customFormat="1" s="2"/>
    <row r="122" customFormat="1" s="2"/>
    <row r="123" customFormat="1" s="2"/>
    <row r="128"/>
  </sheetData>
  <autoFilter ref="A4:L39"/>
  <mergeCells count="2">
    <mergeCell ref="A2:L2"/>
    <mergeCell ref="A1:L1"/>
  </mergeCells>
  <conditionalFormatting sqref="K5:K39">
    <cfRule type="cellIs" priority="2" operator="equal" dxfId="0">
      <formula>"Done"</formula>
    </cfRule>
    <cfRule type="cellIs" priority="3" operator="equal" dxfId="1">
      <formula>"Review"</formula>
    </cfRule>
    <cfRule type="cellIs" priority="4" operator="equal" dxfId="2">
      <formula>"In Progress"</formula>
    </cfRule>
    <cfRule type="cellIs" priority="5" operator="equal" dxfId="3">
      <formula>"To Do"</formula>
    </cfRule>
  </conditionalFormatting>
  <dataValidations count="1">
    <dataValidation sqref="K5:K39" showDropDown="0" showInputMessage="0" showErrorMessage="0" allowBlank="1" type="list">
      <formula1>"To Do,In Progress,Review,Done"</formula1>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H19"/>
  <sheetViews>
    <sheetView view="normal" zoomScale="100" zoomScaleNormal="100" workbookViewId="0">
      <selection activeCell="A1" sqref="A1"/>
    </sheetView>
  </sheetViews>
  <sheetFormatPr baseColWidth="8" defaultColWidth="8.6171875" defaultRowHeight="13.5" customHeight="1" outlineLevelRow="0"/>
  <cols>
    <col width="14" customWidth="1" style="1" min="1" max="8"/>
  </cols>
  <sheetData>
    <row r="1" ht="16.5" customFormat="1" customHeight="1" s="2">
      <c r="A1" s="9" t="inlineStr">
        <is>
          <t>Tiến độ Sprint 4 theo thành viên</t>
        </is>
      </c>
    </row>
    <row r="3" ht="13.5" customFormat="1" customHeight="1" s="2">
      <c r="A3" s="10" t="inlineStr">
        <is>
          <t>Thành viên</t>
        </is>
      </c>
      <c r="B3" s="10" t="inlineStr">
        <is>
          <t>Vai</t>
        </is>
      </c>
      <c r="C3" s="10" t="inlineStr">
        <is>
          <t>Tổng task</t>
        </is>
      </c>
      <c r="D3" s="10" t="inlineStr">
        <is>
          <t>To Do</t>
        </is>
      </c>
      <c r="E3" s="10" t="inlineStr">
        <is>
          <t>In Progress</t>
        </is>
      </c>
      <c r="F3" s="10" t="inlineStr">
        <is>
          <t>Review</t>
        </is>
      </c>
      <c r="G3" s="10" t="inlineStr">
        <is>
          <t>Done</t>
        </is>
      </c>
      <c r="H3" s="10" t="inlineStr">
        <is>
          <t>% Done</t>
        </is>
      </c>
    </row>
    <row r="4" ht="13.5" customFormat="1" customHeight="1" s="2">
      <c r="A4" s="11" t="inlineStr">
        <is>
          <t>Nhanh</t>
        </is>
      </c>
      <c r="B4" s="11" t="inlineStr">
        <is>
          <t>BE · Leader (+ FE báo cáo)</t>
        </is>
      </c>
      <c r="C4" s="11">
        <f>COUNTIF('Task Sprint 4'!$E$5:$E$39,A4)</f>
        <v/>
      </c>
      <c r="D4" s="11">
        <f>COUNTIFS('Task Sprint 4'!$E$5:$E$39,$A4,'Task Sprint 4'!$K$5:$K$39,"To Do")</f>
        <v/>
      </c>
      <c r="E4" s="11">
        <f>COUNTIFS('Task Sprint 4'!$E$5:$E$39,$A4,'Task Sprint 4'!$K$5:$K$39,"In Progress")</f>
        <v/>
      </c>
      <c r="F4" s="11">
        <f>COUNTIFS('Task Sprint 4'!$E$5:$E$39,$A4,'Task Sprint 4'!$K$5:$K$39,"Review")</f>
        <v/>
      </c>
      <c r="G4" s="11">
        <f>COUNTIFS('Task Sprint 4'!$E$5:$E$39,$A4,'Task Sprint 4'!$K$5:$K$39,"Done")</f>
        <v/>
      </c>
      <c r="H4" s="12">
        <f>IF(C4=0,0,G4/C4)</f>
        <v/>
      </c>
    </row>
    <row r="5" ht="13.5" customFormat="1" customHeight="1" s="2">
      <c r="A5" s="11" t="inlineStr">
        <is>
          <t>Bảo</t>
        </is>
      </c>
      <c r="B5" s="11" t="inlineStr">
        <is>
          <t>BE</t>
        </is>
      </c>
      <c r="C5" s="11">
        <f>COUNTIF('Task Sprint 4'!$E$5:$E$39,A5)</f>
        <v/>
      </c>
      <c r="D5" s="11">
        <f>COUNTIFS('Task Sprint 4'!$E$5:$E$39,$A5,'Task Sprint 4'!$K$5:$K$39,"To Do")</f>
        <v/>
      </c>
      <c r="E5" s="11">
        <f>COUNTIFS('Task Sprint 4'!$E$5:$E$39,$A5,'Task Sprint 4'!$K$5:$K$39,"In Progress")</f>
        <v/>
      </c>
      <c r="F5" s="11">
        <f>COUNTIFS('Task Sprint 4'!$E$5:$E$39,$A5,'Task Sprint 4'!$K$5:$K$39,"Review")</f>
        <v/>
      </c>
      <c r="G5" s="11">
        <f>COUNTIFS('Task Sprint 4'!$E$5:$E$39,$A5,'Task Sprint 4'!$K$5:$K$39,"Done")</f>
        <v/>
      </c>
      <c r="H5" s="12">
        <f>IF(C5=0,0,G5/C5)</f>
        <v/>
      </c>
    </row>
    <row r="6" ht="13.5" customFormat="1" customHeight="1" s="2">
      <c r="A6" s="11" t="inlineStr">
        <is>
          <t>Khôi</t>
        </is>
      </c>
      <c r="B6" s="11" t="inlineStr">
        <is>
          <t>Full-stack (hồ sơ)</t>
        </is>
      </c>
      <c r="C6" s="11">
        <f>COUNTIF('Task Sprint 4'!$E$5:$E$39,A6)</f>
        <v/>
      </c>
      <c r="D6" s="11">
        <f>COUNTIFS('Task Sprint 4'!$E$5:$E$39,$A6,'Task Sprint 4'!$K$5:$K$39,"To Do")</f>
        <v/>
      </c>
      <c r="E6" s="11">
        <f>COUNTIFS('Task Sprint 4'!$E$5:$E$39,$A6,'Task Sprint 4'!$K$5:$K$39,"In Progress")</f>
        <v/>
      </c>
      <c r="F6" s="11">
        <f>COUNTIFS('Task Sprint 4'!$E$5:$E$39,$A6,'Task Sprint 4'!$K$5:$K$39,"Review")</f>
        <v/>
      </c>
      <c r="G6" s="11">
        <f>COUNTIFS('Task Sprint 4'!$E$5:$E$39,$A6,'Task Sprint 4'!$K$5:$K$39,"Done")</f>
        <v/>
      </c>
      <c r="H6" s="12">
        <f>IF(C6=0,0,G6/C6)</f>
        <v/>
      </c>
    </row>
    <row r="7" ht="13.5" customFormat="1" customHeight="1" s="2">
      <c r="A7" s="11" t="inlineStr">
        <is>
          <t>Khải</t>
        </is>
      </c>
      <c r="B7" s="11" t="inlineStr">
        <is>
          <t>FE</t>
        </is>
      </c>
      <c r="C7" s="11">
        <f>COUNTIF('Task Sprint 4'!$E$5:$E$39,A7)</f>
        <v/>
      </c>
      <c r="D7" s="11">
        <f>COUNTIFS('Task Sprint 4'!$E$5:$E$39,$A7,'Task Sprint 4'!$K$5:$K$39,"To Do")</f>
        <v/>
      </c>
      <c r="E7" s="11">
        <f>COUNTIFS('Task Sprint 4'!$E$5:$E$39,$A7,'Task Sprint 4'!$K$5:$K$39,"In Progress")</f>
        <v/>
      </c>
      <c r="F7" s="11">
        <f>COUNTIFS('Task Sprint 4'!$E$5:$E$39,$A7,'Task Sprint 4'!$K$5:$K$39,"Review")</f>
        <v/>
      </c>
      <c r="G7" s="11">
        <f>COUNTIFS('Task Sprint 4'!$E$5:$E$39,$A7,'Task Sprint 4'!$K$5:$K$39,"Done")</f>
        <v/>
      </c>
      <c r="H7" s="12">
        <f>IF(C7=0,0,G7/C7)</f>
        <v/>
      </c>
    </row>
    <row r="8" ht="13.5" customFormat="1" customHeight="1" s="2">
      <c r="A8" s="13" t="inlineStr">
        <is>
          <t>Tổng</t>
        </is>
      </c>
      <c r="C8" s="1">
        <f>SUM(C4:C7)</f>
        <v/>
      </c>
      <c r="D8" s="1">
        <f>SUM(D4:D7)</f>
        <v/>
      </c>
      <c r="E8" s="1">
        <f>SUM(E4:E7)</f>
        <v/>
      </c>
      <c r="F8" s="1">
        <f>SUM(F4:F7)</f>
        <v/>
      </c>
      <c r="G8" s="1">
        <f>SUM(G4:G7)</f>
        <v/>
      </c>
      <c r="H8" s="14">
        <f>IF(C8=0,0,G8/C8)</f>
        <v/>
      </c>
    </row>
    <row r="10" ht="13.5" customFormat="1" customHeight="1" s="2">
      <c r="A10" s="13" t="inlineStr">
        <is>
          <t>Demo main flow Sprint 4 (Review 4 – cuối kỳ):</t>
        </is>
      </c>
    </row>
    <row r="11" ht="13.5" customFormat="1" customHeight="1" s="2">
      <c r="A11" s="1" t="inlineStr">
        <is>
          <t>1. Hội viên mở trang Huấn luyện viên → lọc bộ môn → xem hồ sơ HLV, lớp đang mở, đánh giá → bấm liên hệ (mail / gọi / Zalo) → đăng ký khoá của HLV</t>
        </is>
      </c>
    </row>
    <row r="12" ht="13.5" customFormat="1" customHeight="1" s="2">
      <c r="A12" s="1" t="inlineStr">
        <is>
          <t>2. Hội viên cập nhật hồ sơ tập luyện (mục tiêu, trình độ, sức khoẻ); HLV mở danh sách học viên → xem hồ sơ; HLV khác mở cùng hội viên → bị chặn</t>
        </is>
      </c>
    </row>
    <row r="13" ht="13.5" customFormat="1" customHeight="1" s="2">
      <c r="A13" s="1" t="inlineStr">
        <is>
          <t>3. Lớp có buổi cuối đã qua → job chuyển COMPLETED → HLV nhận thông báo → lập tổng kết (chuyên cần tự tính, Đạt/Chưa đạt, nhận xét) → công bố</t>
        </is>
      </c>
    </row>
    <row r="14" ht="13.5" customFormat="1" customHeight="1" s="2">
      <c r="A14" s="1" t="inlineStr">
        <is>
          <t>4. Hội viên nhận thông báo → xem kết quả khoá, tải phiếu tổng kết PDF → đánh giá khoá và HLV → điểm TB hiện trên hồ sơ HLV</t>
        </is>
      </c>
    </row>
    <row r="15" ht="13.5" customFormat="1" customHeight="1" s="2">
      <c r="A15" s="1" t="inlineStr">
        <is>
          <t>5. Quản lý mở lại một tổng kết có lý do → HLV sửa, công bố lại; tab Tổng kết khoá: % Đạt, chuyên cần TB, khoá chưa nộp</t>
        </is>
      </c>
    </row>
    <row r="16" ht="13.5" customFormat="1" customHeight="1" s="2">
      <c r="A16" s="1" t="inlineStr">
        <is>
          <t>6. Báo cáo doanh thu theo tháng/quý/năm, so sánh kỳ trước, cơ cấu gói tự tập / khoá học / chênh lệch, top lớp; báo cáo hội viên và đăng ký theo thời gian; xuất Excel/PDF</t>
        </is>
      </c>
    </row>
    <row r="17">
      <c r="A17" s="1" t="n"/>
    </row>
    <row r="18"/>
    <row r="19"/>
  </sheetData>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F15"/>
  <sheetViews>
    <sheetView view="normal" zoomScale="100" zoomScaleNormal="100" workbookViewId="0">
      <selection activeCell="A1" sqref="A1"/>
    </sheetView>
  </sheetViews>
  <sheetFormatPr baseColWidth="8" defaultColWidth="8.6171875" defaultRowHeight="15" outlineLevelRow="0"/>
  <cols>
    <col width="9" customWidth="1" style="1" min="1" max="1"/>
    <col width="7" customWidth="1" style="1" min="2" max="2"/>
    <col width="70" customWidth="1" style="1" min="3" max="3"/>
    <col width="18" customWidth="1" style="1" min="4" max="4"/>
    <col width="12" customWidth="1" style="1" min="5" max="5"/>
    <col width="50" customWidth="1" style="1" min="6" max="6"/>
  </cols>
  <sheetData>
    <row r="1" ht="17.25" customFormat="1" customHeight="1" s="2">
      <c r="A1" s="3" t="inlineStr">
        <is>
          <t>PHẠM VI KHÔNG LÀM Ở SPRINT 4 (CHỐT 26/10/2026) – GIỮ LẠI ĐỂ TRUY VẾT, KHÔNG TÍNH VÀO TỔNG HỢP</t>
        </is>
      </c>
    </row>
    <row r="2" ht="15" customFormat="1" customHeight="1" s="2">
      <c r="A2" s="4" t="inlineStr">
        <is>
          <t>Các function này vẫn nằm trong tab Phân chia UC với trạng thái "Huỷ". Phần "đánh giá tiến độ, nhận xét học viên" của Coach được đáp ứng bằng tổng kết khoá học (#116–117).</t>
        </is>
      </c>
    </row>
    <row r="3">
      <c r="A3" t="inlineStr">
        <is>
          <t>#</t>
        </is>
      </c>
      <c r="B3" t="inlineStr">
        <is>
          <t>Nhóm</t>
        </is>
      </c>
      <c r="C3" t="inlineStr">
        <is>
          <t>Function</t>
        </is>
      </c>
      <c r="D3" t="inlineStr">
        <is>
          <t>Người làm (cũ)</t>
        </is>
      </c>
      <c r="E3" t="inlineStr">
        <is>
          <t>Trạng thái</t>
        </is>
      </c>
      <c r="F3" t="inlineStr">
        <is>
          <t>Lý do</t>
        </is>
      </c>
    </row>
    <row r="4" ht="15" customFormat="1" customHeight="1" s="2">
      <c r="A4" s="5" t="n">
        <v>65</v>
      </c>
      <c r="B4" s="5" t="inlineStr">
        <is>
          <t>Training</t>
        </is>
      </c>
      <c r="C4" s="5" t="inlineStr">
        <is>
          <t>Tạo / sửa kế hoạch tập luyện (UC-TR-01)</t>
        </is>
      </c>
      <c r="D4" s="5" t="inlineStr">
        <is>
          <t>Bảo / Khôi</t>
        </is>
      </c>
      <c r="E4" s="5" t="inlineStr">
        <is>
          <t>Huỷ</t>
        </is>
      </c>
      <c r="F4" s="5" t="inlineStr">
        <is>
          <t>Ngoài phạm vi Sprint 4; code training cũ (nhánh khoi) không còn trên remote</t>
        </is>
      </c>
    </row>
    <row r="5" ht="15" customFormat="1" customHeight="1" s="2">
      <c r="A5" s="5" t="n">
        <v>66</v>
      </c>
      <c r="B5" s="5" t="inlineStr">
        <is>
          <t>Training</t>
        </is>
      </c>
      <c r="C5" s="5" t="inlineStr">
        <is>
          <t>Ghi kết quả buổi tập (UC-TR-02)</t>
        </is>
      </c>
      <c r="D5" s="5" t="inlineStr">
        <is>
          <t>Bảo / Khôi</t>
        </is>
      </c>
      <c r="E5" s="5" t="inlineStr">
        <is>
          <t>Huỷ</t>
        </is>
      </c>
      <c r="F5" s="5" t="inlineStr">
        <is>
          <t>Ngoài phạm vi Sprint 4; code training cũ (nhánh khoi) không còn trên remote</t>
        </is>
      </c>
    </row>
    <row r="6" ht="15" customFormat="1" customHeight="1" s="2">
      <c r="A6" s="5" t="n">
        <v>67</v>
      </c>
      <c r="B6" s="5" t="inlineStr">
        <is>
          <t>Training</t>
        </is>
      </c>
      <c r="C6" s="5" t="inlineStr">
        <is>
          <t>Xem kế hoạch và nhận xét (UC-TR-03)</t>
        </is>
      </c>
      <c r="D6" s="5" t="inlineStr">
        <is>
          <t>Bảo / Khôi</t>
        </is>
      </c>
      <c r="E6" s="5" t="inlineStr">
        <is>
          <t>Huỷ</t>
        </is>
      </c>
      <c r="F6" s="5" t="inlineStr">
        <is>
          <t>Ngoài phạm vi Sprint 4; code training cũ (nhánh khoi) không còn trên remote</t>
        </is>
      </c>
    </row>
    <row r="7" ht="15" customFormat="1" customHeight="1" s="2">
      <c r="A7" s="5" t="n">
        <v>68</v>
      </c>
      <c r="B7" s="5" t="inlineStr">
        <is>
          <t>Training</t>
        </is>
      </c>
      <c r="C7" s="5" t="inlineStr">
        <is>
          <t>Đánh dấu hoàn thành bài tập (UC-TR-03)</t>
        </is>
      </c>
      <c r="D7" s="5" t="inlineStr">
        <is>
          <t>Bảo / Khôi</t>
        </is>
      </c>
      <c r="E7" s="5" t="inlineStr">
        <is>
          <t>Huỷ</t>
        </is>
      </c>
      <c r="F7" s="5" t="inlineStr">
        <is>
          <t>Ngoài phạm vi Sprint 4; code training cũ (nhánh khoi) không còn trên remote</t>
        </is>
      </c>
    </row>
    <row r="8" ht="15" customFormat="1" customHeight="1" s="2">
      <c r="A8" s="5" t="n">
        <v>69</v>
      </c>
      <c r="B8" s="5" t="inlineStr">
        <is>
          <t>Training</t>
        </is>
      </c>
      <c r="C8" s="5" t="inlineStr">
        <is>
          <t>Gửi bài tập / thông báo cho học viên (UC-TR-04)</t>
        </is>
      </c>
      <c r="D8" s="5" t="inlineStr">
        <is>
          <t>Bảo / Khôi</t>
        </is>
      </c>
      <c r="E8" s="5" t="inlineStr">
        <is>
          <t>Huỷ</t>
        </is>
      </c>
      <c r="F8" s="5" t="inlineStr">
        <is>
          <t>Ngoài phạm vi Sprint 4; code training cũ (nhánh khoi) không còn trên remote</t>
        </is>
      </c>
    </row>
    <row r="9" ht="15" customFormat="1" customHeight="1" s="2">
      <c r="A9" s="5" t="n">
        <v>70</v>
      </c>
      <c r="B9" s="5" t="inlineStr">
        <is>
          <t>AI</t>
        </is>
      </c>
      <c r="C9" s="5" t="inlineStr">
        <is>
          <t>AI sinh bản nháp bài tập (UC-AI-01)</t>
        </is>
      </c>
      <c r="D9" s="5" t="inlineStr">
        <is>
          <t>Nhanh / Khôi</t>
        </is>
      </c>
      <c r="E9" s="5" t="inlineStr">
        <is>
          <t>Huỷ</t>
        </is>
      </c>
      <c r="F9" s="5" t="inlineStr">
        <is>
          <t>Nhóm không làm AI</t>
        </is>
      </c>
    </row>
    <row r="10">
      <c r="A10" s="5" t="n">
        <v>71</v>
      </c>
      <c r="B10" s="5" t="inlineStr">
        <is>
          <t>AI</t>
        </is>
      </c>
      <c r="C10" s="5" t="inlineStr">
        <is>
          <t>Sửa / duyệt bản nháp AI (UC-AI-01)</t>
        </is>
      </c>
      <c r="D10" s="5" t="inlineStr">
        <is>
          <t>Nhanh / Khôi</t>
        </is>
      </c>
      <c r="E10" s="5" t="inlineStr">
        <is>
          <t>Huỷ</t>
        </is>
      </c>
      <c r="F10" s="5" t="inlineStr">
        <is>
          <t>Nhóm không làm AI</t>
        </is>
      </c>
    </row>
    <row r="11">
      <c r="A11" s="5" t="n">
        <v>72</v>
      </c>
      <c r="B11" s="5" t="inlineStr">
        <is>
          <t>AI</t>
        </is>
      </c>
      <c r="C11" s="5" t="inlineStr">
        <is>
          <t>AI đánh giá tiến độ học viên (UC-AI-02)</t>
        </is>
      </c>
      <c r="D11" s="5" t="inlineStr">
        <is>
          <t>Nhanh / Khôi</t>
        </is>
      </c>
      <c r="E11" s="5" t="inlineStr">
        <is>
          <t>Huỷ</t>
        </is>
      </c>
      <c r="F11" s="5" t="inlineStr">
        <is>
          <t>Nhóm không làm AI</t>
        </is>
      </c>
    </row>
    <row r="12">
      <c r="A12" s="5" t="n">
        <v>73</v>
      </c>
      <c r="B12" s="5" t="inlineStr">
        <is>
          <t>AI</t>
        </is>
      </c>
      <c r="C12" s="5" t="inlineStr">
        <is>
          <t>Quản lý nhà cung cấp và model AI (UC-AI-04)</t>
        </is>
      </c>
      <c r="D12" s="5" t="inlineStr">
        <is>
          <t>Nhanh / Khôi</t>
        </is>
      </c>
      <c r="E12" s="5" t="inlineStr">
        <is>
          <t>Huỷ</t>
        </is>
      </c>
      <c r="F12" s="5" t="inlineStr">
        <is>
          <t>Nhóm không làm AI</t>
        </is>
      </c>
    </row>
    <row r="13">
      <c r="A13" s="5" t="n">
        <v>74</v>
      </c>
      <c r="B13" s="5" t="inlineStr">
        <is>
          <t>AI</t>
        </is>
      </c>
      <c r="C13" s="5" t="inlineStr">
        <is>
          <t>Gán model và prompt cho tính năng (UC-AI-05)</t>
        </is>
      </c>
      <c r="D13" s="5" t="inlineStr">
        <is>
          <t>Nhanh / Khôi</t>
        </is>
      </c>
      <c r="E13" s="5" t="inlineStr">
        <is>
          <t>Huỷ</t>
        </is>
      </c>
      <c r="F13" s="5" t="inlineStr">
        <is>
          <t>Nhóm không làm AI</t>
        </is>
      </c>
    </row>
    <row r="14">
      <c r="A14" s="5" t="n">
        <v>75</v>
      </c>
      <c r="B14" s="5" t="inlineStr">
        <is>
          <t>AI</t>
        </is>
      </c>
      <c r="C14" s="5" t="inlineStr">
        <is>
          <t>Trợ lý hỏi đáp cho hội viên (UC-AI-03)</t>
        </is>
      </c>
      <c r="D14" s="5" t="inlineStr">
        <is>
          <t>Nhanh / Khôi</t>
        </is>
      </c>
      <c r="E14" s="5" t="inlineStr">
        <is>
          <t>Huỷ</t>
        </is>
      </c>
      <c r="F14" s="5" t="inlineStr">
        <is>
          <t>Nhóm không làm AI</t>
        </is>
      </c>
    </row>
    <row r="15">
      <c r="A15" s="5" t="n">
        <v>76</v>
      </c>
      <c r="B15" s="5" t="inlineStr">
        <is>
          <t>AI</t>
        </is>
      </c>
      <c r="C15" s="5" t="inlineStr">
        <is>
          <t>Nhật ký và chi phí AI (UC-AI-06)</t>
        </is>
      </c>
      <c r="D15" s="5" t="inlineStr">
        <is>
          <t>Nhanh / Khôi</t>
        </is>
      </c>
      <c r="E15" s="5" t="inlineStr">
        <is>
          <t>Huỷ</t>
        </is>
      </c>
      <c r="F15" s="5" t="inlineStr">
        <is>
          <t>Nhóm không làm AI</t>
        </is>
      </c>
    </row>
  </sheetData>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2026-09-29T03:10:53Z</dcterms:created>
  <dcterms:modified xsi:type="dcterms:W3CDTF">2026-10-26T04:13:33Z</dcterms:modified>
  <cp:lastModifiedBy>86 LĐN</cp:lastModifiedBy>
</cp:coreProperties>
</file>