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ổng quan đề tài" sheetId="1" state="visible" r:id="rId1"/>
    <sheet xmlns:r="http://schemas.openxmlformats.org/officeDocument/2006/relationships" name="Phân chia UC" sheetId="2" state="visible" r:id="rId2"/>
    <sheet xmlns:r="http://schemas.openxmlformats.org/officeDocument/2006/relationships" name="Sprint Summary" sheetId="3" state="visible" r:id="rId3"/>
    <sheet xmlns:r="http://schemas.openxmlformats.org/officeDocument/2006/relationships" name="Sources &amp; Notes" sheetId="4" state="visible" r:id="rId4"/>
  </sheets>
  <definedNames>
    <definedName name="Z_EB05ED6C_E92C_4D44_A0B5_CC02F507D810_.wvu.FilterData" localSheetId="1" hidden="1" function="0" vbProcedure="0">'Phân chia UC'!$A$4:$M$80</definedName>
    <definedName name="_xlnm._FilterDatabase" localSheetId="1" hidden="1">'Phân chia UC'!$A$4:$O$113</definedName>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0"/>
      <color rgb="FF000000"/>
      <sz val="11"/>
    </font>
    <font>
      <name val="Arial"/>
      <family val="0"/>
      <sz val="10"/>
    </font>
    <font>
      <name val="Arial"/>
      <family val="0"/>
      <sz val="10"/>
    </font>
    <font>
      <name val="Arial"/>
      <family val="0"/>
      <sz val="10"/>
    </font>
    <font>
      <name val="Arial"/>
      <charset val="1"/>
      <family val="0"/>
      <b val="1"/>
      <color rgb="FF1F4E78"/>
      <sz val="14"/>
    </font>
    <font>
      <name val="Arial"/>
      <charset val="1"/>
      <family val="0"/>
      <i val="1"/>
      <color rgb="FF52627A"/>
      <sz val="10"/>
    </font>
    <font>
      <name val="Arial"/>
      <charset val="1"/>
      <family val="0"/>
      <b val="1"/>
      <color rgb="FF1F4E78"/>
      <sz val="12"/>
    </font>
    <font>
      <name val="Arial"/>
      <charset val="1"/>
      <family val="0"/>
      <b val="1"/>
      <color rgb="FFFFFFFF"/>
      <sz val="10"/>
    </font>
    <font>
      <name val="Arial"/>
      <charset val="1"/>
      <family val="0"/>
      <b val="1"/>
      <sz val="10"/>
    </font>
    <font>
      <name val="Arial"/>
      <charset val="1"/>
      <family val="0"/>
      <sz val="10"/>
    </font>
    <font>
      <name val="Arial"/>
      <charset val="1"/>
      <family val="0"/>
      <b val="1"/>
      <color rgb="FFFFFFFF"/>
      <sz val="15"/>
    </font>
    <font>
      <name val="Arial"/>
      <charset val="1"/>
      <family val="0"/>
      <i val="1"/>
      <color rgb="FF334155"/>
      <sz val="11"/>
    </font>
    <font>
      <name val="Arial"/>
      <charset val="1"/>
      <family val="0"/>
      <i val="1"/>
      <color rgb="FF475569"/>
      <sz val="9"/>
    </font>
    <font>
      <name val="Arial"/>
      <charset val="1"/>
      <family val="0"/>
      <color rgb="FF111827"/>
      <sz val="10"/>
    </font>
    <font>
      <name val="Arial"/>
      <charset val="1"/>
      <family val="0"/>
      <b val="1"/>
      <color rgb="FF1F2937"/>
      <sz val="10"/>
    </font>
    <font>
      <name val="Arial"/>
      <charset val="1"/>
      <family val="0"/>
      <b val="1"/>
      <color rgb="FF0F172A"/>
      <sz val="10"/>
    </font>
    <font>
      <name val="Calibri"/>
      <family val="2"/>
      <color rgb="FF757575"/>
      <sz val="18"/>
    </font>
    <font>
      <name val="Calibri"/>
      <family val="2"/>
      <color rgb="FF000000"/>
      <sz val="10"/>
    </font>
  </fonts>
  <fills count="19">
    <fill>
      <patternFill/>
    </fill>
    <fill>
      <patternFill patternType="gray125"/>
    </fill>
    <fill>
      <patternFill patternType="solid">
        <fgColor rgb="FF1F4E78"/>
        <bgColor rgb="FF156082"/>
      </patternFill>
    </fill>
    <fill>
      <patternFill patternType="solid">
        <fgColor rgb="FF163A5F"/>
        <bgColor rgb="FF334155"/>
      </patternFill>
    </fill>
    <fill>
      <patternFill patternType="solid">
        <fgColor rgb="FFF8FAFC"/>
        <bgColor rgb="FFF8FBFF"/>
      </patternFill>
    </fill>
    <fill>
      <patternFill patternType="solid">
        <fgColor rgb="FFF8FBFF"/>
        <bgColor rgb="FFF8FAFC"/>
      </patternFill>
    </fill>
    <fill>
      <patternFill patternType="solid">
        <fgColor rgb="FFF7FCF9"/>
        <bgColor rgb="FFF8FAFC"/>
      </patternFill>
    </fill>
    <fill>
      <patternFill patternType="solid">
        <fgColor rgb="FFFFF9F2"/>
        <bgColor rgb="FFFFF7FB"/>
      </patternFill>
    </fill>
    <fill>
      <patternFill patternType="solid">
        <fgColor rgb="FFFAF7FF"/>
        <bgColor rgb="FFF8FAFC"/>
      </patternFill>
    </fill>
    <fill>
      <patternFill patternType="solid">
        <fgColor rgb="FFFFF7FB"/>
        <bgColor rgb="FFFAF7FF"/>
      </patternFill>
    </fill>
    <fill>
      <patternFill patternType="solid">
        <fgColor rgb="FFEFF6FF"/>
        <bgColor rgb="FFF8FAFC"/>
      </patternFill>
    </fill>
    <fill>
      <patternFill patternType="solid">
        <fgColor rgb="FFE2E8F0"/>
        <bgColor rgb="FFDDEBF7"/>
      </patternFill>
    </fill>
    <fill>
      <patternFill patternType="solid">
        <fgColor rgb="FF64748B"/>
        <bgColor rgb="FF757575"/>
      </patternFill>
    </fill>
    <fill>
      <patternFill patternType="solid">
        <fgColor rgb="FFF8FBFF"/>
      </patternFill>
    </fill>
    <fill>
      <patternFill patternType="solid">
        <fgColor rgb="FFFFF9F2"/>
      </patternFill>
    </fill>
    <fill>
      <patternFill patternType="solid">
        <fgColor rgb="FFF7FCF9"/>
      </patternFill>
    </fill>
    <fill>
      <patternFill patternType="solid">
        <fgColor rgb="FFFAF7FF"/>
      </patternFill>
    </fill>
    <fill>
      <patternFill patternType="solid">
        <fgColor rgb="FFFFF7FB"/>
      </patternFill>
    </fill>
    <fill>
      <patternFill patternType="solid">
        <fgColor rgb="FFF5F5F5"/>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9" fillId="0" borderId="1" applyAlignment="1" pivotButton="0" quotePrefix="0" xfId="0">
      <alignment horizontal="center" vertical="top"/>
    </xf>
    <xf numFmtId="0" fontId="8" fillId="0" borderId="1" applyAlignment="1" pivotButton="0" quotePrefix="0" xfId="0">
      <alignment horizontal="center"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4" borderId="0" applyAlignment="1" pivotButton="0" quotePrefix="0" xfId="0">
      <alignment horizontal="general" vertical="bottom"/>
    </xf>
    <xf numFmtId="0" fontId="7" fillId="2" borderId="0" applyAlignment="1" pivotButton="0" quotePrefix="0" xfId="0">
      <alignment horizontal="left" vertical="center" wrapText="1"/>
    </xf>
    <xf numFmtId="0" fontId="13" fillId="5" borderId="0" applyAlignment="1" pivotButton="0" quotePrefix="0" xfId="0">
      <alignment horizontal="center" vertical="center" wrapText="1"/>
    </xf>
    <xf numFmtId="0" fontId="13" fillId="5" borderId="0" applyAlignment="1" pivotButton="0" quotePrefix="0" xfId="0">
      <alignment horizontal="general" vertical="center" wrapText="1"/>
    </xf>
    <xf numFmtId="0" fontId="13" fillId="5" borderId="0" applyAlignment="1" pivotButton="0" quotePrefix="0" xfId="0">
      <alignment horizontal="center" vertical="top"/>
    </xf>
    <xf numFmtId="0" fontId="13" fillId="5" borderId="0" applyAlignment="1" pivotButton="0" quotePrefix="0" xfId="0">
      <alignment horizontal="general" vertical="top" wrapText="1"/>
    </xf>
    <xf numFmtId="0" fontId="13" fillId="6" borderId="0" applyAlignment="1" pivotButton="0" quotePrefix="0" xfId="0">
      <alignment horizontal="center" vertical="center" wrapText="1"/>
    </xf>
    <xf numFmtId="0" fontId="13" fillId="6" borderId="0" applyAlignment="1" pivotButton="0" quotePrefix="0" xfId="0">
      <alignment horizontal="general" vertical="center" wrapText="1"/>
    </xf>
    <xf numFmtId="0" fontId="13" fillId="6" borderId="0" applyAlignment="1" pivotButton="0" quotePrefix="0" xfId="0">
      <alignment horizontal="center" vertical="top"/>
    </xf>
    <xf numFmtId="0" fontId="13" fillId="6" borderId="0" applyAlignment="1" pivotButton="0" quotePrefix="0" xfId="0">
      <alignment horizontal="general" vertical="top" wrapText="1"/>
    </xf>
    <xf numFmtId="0" fontId="13" fillId="7" borderId="0" applyAlignment="1" pivotButton="0" quotePrefix="0" xfId="0">
      <alignment horizontal="center" vertical="center" wrapText="1"/>
    </xf>
    <xf numFmtId="0" fontId="13" fillId="7" borderId="0" applyAlignment="1" pivotButton="0" quotePrefix="0" xfId="0">
      <alignment horizontal="general" vertical="center" wrapText="1"/>
    </xf>
    <xf numFmtId="0" fontId="13" fillId="7" borderId="0" applyAlignment="1" pivotButton="0" quotePrefix="0" xfId="0">
      <alignment horizontal="center" vertical="top"/>
    </xf>
    <xf numFmtId="0" fontId="13" fillId="7" borderId="0" applyAlignment="1" pivotButton="0" quotePrefix="0" xfId="0">
      <alignment horizontal="general" vertical="top" wrapText="1"/>
    </xf>
    <xf numFmtId="0" fontId="13" fillId="8" borderId="0" applyAlignment="1" pivotButton="0" quotePrefix="0" xfId="0">
      <alignment horizontal="center" vertical="center" wrapText="1"/>
    </xf>
    <xf numFmtId="0" fontId="13" fillId="8" borderId="0" applyAlignment="1" pivotButton="0" quotePrefix="0" xfId="0">
      <alignment horizontal="general" vertical="center" wrapText="1"/>
    </xf>
    <xf numFmtId="0" fontId="13" fillId="8" borderId="0" applyAlignment="1" pivotButton="0" quotePrefix="0" xfId="0">
      <alignment horizontal="center" vertical="top"/>
    </xf>
    <xf numFmtId="0" fontId="13" fillId="8" borderId="0" applyAlignment="1" pivotButton="0" quotePrefix="0" xfId="0">
      <alignment horizontal="general" vertical="top" wrapText="1"/>
    </xf>
    <xf numFmtId="0" fontId="13" fillId="9" borderId="0" applyAlignment="1" pivotButton="0" quotePrefix="0" xfId="0">
      <alignment horizontal="center" vertical="center" wrapText="1"/>
    </xf>
    <xf numFmtId="0" fontId="13" fillId="9" borderId="0" applyAlignment="1" pivotButton="0" quotePrefix="0" xfId="0">
      <alignment horizontal="general" vertical="center" wrapText="1"/>
    </xf>
    <xf numFmtId="0" fontId="13" fillId="9" borderId="0" applyAlignment="1" pivotButton="0" quotePrefix="0" xfId="0">
      <alignment horizontal="center" vertical="top"/>
    </xf>
    <xf numFmtId="0" fontId="13" fillId="9" borderId="0" applyAlignment="1" pivotButton="0" quotePrefix="0" xfId="0">
      <alignment horizontal="general" vertical="top" wrapText="1"/>
    </xf>
    <xf numFmtId="0" fontId="13" fillId="0" borderId="0" applyAlignment="1" pivotButton="0" quotePrefix="0" xfId="0">
      <alignment horizontal="general" vertical="bottom"/>
    </xf>
    <xf numFmtId="0" fontId="7" fillId="2" borderId="0" applyAlignment="1" pivotButton="0" quotePrefix="0" xfId="0">
      <alignment horizontal="general" vertical="center" wrapText="1"/>
    </xf>
    <xf numFmtId="0" fontId="14" fillId="10" borderId="0" applyAlignment="1" pivotButton="0" quotePrefix="0" xfId="0">
      <alignment horizontal="general" vertical="center" wrapText="1"/>
    </xf>
    <xf numFmtId="0" fontId="13" fillId="10" borderId="0" applyAlignment="1" pivotButton="0" quotePrefix="0" xfId="0">
      <alignment horizontal="general" vertical="center" wrapText="1"/>
    </xf>
    <xf numFmtId="0" fontId="15" fillId="11" borderId="0" applyAlignment="1" pivotButton="0" quotePrefix="0" xfId="0">
      <alignment horizontal="general" vertical="center" wrapText="1"/>
    </xf>
    <xf numFmtId="0" fontId="15" fillId="11" borderId="0" applyAlignment="1" pivotButton="0" quotePrefix="0" xfId="0">
      <alignment horizontal="center" vertical="center" wrapText="1"/>
    </xf>
    <xf numFmtId="0" fontId="13" fillId="0" borderId="0" applyAlignment="1" pivotButton="0" quotePrefix="0" xfId="0">
      <alignment horizontal="general" vertical="center" wrapText="1"/>
    </xf>
    <xf numFmtId="0" fontId="7" fillId="12" borderId="0" applyAlignment="1" pivotButton="0" quotePrefix="0" xfId="0">
      <alignment horizontal="general" vertical="center" wrapText="1"/>
    </xf>
    <xf numFmtId="0" fontId="13" fillId="4" borderId="0" applyAlignment="1" pivotButton="0" quotePrefix="0" xfId="0">
      <alignment horizontal="general" vertical="center" wrapText="1"/>
    </xf>
    <xf numFmtId="0" fontId="13" fillId="4" borderId="0" applyAlignment="1" pivotButton="0" quotePrefix="0" xfId="0">
      <alignment horizontal="center" vertical="center" wrapText="1"/>
    </xf>
    <xf numFmtId="0" fontId="12" fillId="0" borderId="0" applyAlignment="1" pivotButton="0" quotePrefix="0" xfId="0">
      <alignment horizontal="general" vertical="bottom"/>
    </xf>
    <xf numFmtId="0" fontId="12" fillId="4"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9" fillId="0" borderId="1" applyAlignment="1" pivotButton="0" quotePrefix="0" xfId="0">
      <alignment horizontal="center" vertical="top"/>
    </xf>
    <xf numFmtId="0" fontId="8" fillId="0" borderId="1" applyAlignment="1" pivotButton="0" quotePrefix="0" xfId="0">
      <alignment horizontal="center"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4" borderId="0" applyAlignment="1" pivotButton="0" quotePrefix="0" xfId="0">
      <alignment horizontal="general" vertical="bottom"/>
    </xf>
    <xf numFmtId="0" fontId="7" fillId="2" borderId="0" applyAlignment="1" pivotButton="0" quotePrefix="0" xfId="0">
      <alignment horizontal="left" vertical="center" wrapText="1"/>
    </xf>
    <xf numFmtId="0" fontId="13" fillId="13" borderId="0" applyAlignment="1" pivotButton="0" quotePrefix="0" xfId="0">
      <alignment horizontal="center" vertical="center" wrapText="1"/>
    </xf>
    <xf numFmtId="0" fontId="13" fillId="13" borderId="0" applyAlignment="1" pivotButton="0" quotePrefix="0" xfId="0">
      <alignment horizontal="general" vertical="center" wrapText="1"/>
    </xf>
    <xf numFmtId="0" fontId="13" fillId="13" borderId="0" applyAlignment="1" pivotButton="0" quotePrefix="0" xfId="0">
      <alignment horizontal="center" vertical="top"/>
    </xf>
    <xf numFmtId="0" fontId="13" fillId="13" borderId="0" applyAlignment="1" pivotButton="0" quotePrefix="0" xfId="0">
      <alignment horizontal="general" vertical="top" wrapText="1"/>
    </xf>
    <xf numFmtId="0" fontId="13" fillId="14" borderId="0" applyAlignment="1" pivotButton="0" quotePrefix="0" xfId="0">
      <alignment horizontal="center" vertical="center" wrapText="1"/>
    </xf>
    <xf numFmtId="0" fontId="13" fillId="14" borderId="0" applyAlignment="1" pivotButton="0" quotePrefix="0" xfId="0">
      <alignment horizontal="general" vertical="center" wrapText="1"/>
    </xf>
    <xf numFmtId="0" fontId="13" fillId="14" borderId="0" applyAlignment="1" pivotButton="0" quotePrefix="0" xfId="0">
      <alignment horizontal="center" vertical="top"/>
    </xf>
    <xf numFmtId="0" fontId="13" fillId="14" borderId="0" applyAlignment="1" pivotButton="0" quotePrefix="0" xfId="0">
      <alignment horizontal="general" vertical="top" wrapText="1"/>
    </xf>
    <xf numFmtId="0" fontId="13" fillId="15" borderId="0" applyAlignment="1" pivotButton="0" quotePrefix="0" xfId="0">
      <alignment horizontal="center" vertical="center" wrapText="1"/>
    </xf>
    <xf numFmtId="0" fontId="13" fillId="15" borderId="0" applyAlignment="1" pivotButton="0" quotePrefix="0" xfId="0">
      <alignment horizontal="general" vertical="center" wrapText="1"/>
    </xf>
    <xf numFmtId="0" fontId="13" fillId="15" borderId="0" applyAlignment="1" pivotButton="0" quotePrefix="0" xfId="0">
      <alignment horizontal="center" vertical="top"/>
    </xf>
    <xf numFmtId="0" fontId="13" fillId="15" borderId="0" applyAlignment="1" pivotButton="0" quotePrefix="0" xfId="0">
      <alignment horizontal="general" vertical="top" wrapText="1"/>
    </xf>
    <xf numFmtId="0" fontId="13" fillId="16" borderId="0" applyAlignment="1" pivotButton="0" quotePrefix="0" xfId="0">
      <alignment horizontal="center" vertical="center" wrapText="1"/>
    </xf>
    <xf numFmtId="0" fontId="13" fillId="16" borderId="0" applyAlignment="1" pivotButton="0" quotePrefix="0" xfId="0">
      <alignment horizontal="general" vertical="center" wrapText="1"/>
    </xf>
    <xf numFmtId="0" fontId="13" fillId="16" borderId="0" applyAlignment="1" pivotButton="0" quotePrefix="0" xfId="0">
      <alignment horizontal="center" vertical="top"/>
    </xf>
    <xf numFmtId="0" fontId="13" fillId="16" borderId="0" applyAlignment="1" pivotButton="0" quotePrefix="0" xfId="0">
      <alignment horizontal="general" vertical="top" wrapText="1"/>
    </xf>
    <xf numFmtId="0" fontId="13" fillId="17" borderId="0" applyAlignment="1" pivotButton="0" quotePrefix="0" xfId="0">
      <alignment horizontal="center" vertical="center" wrapText="1"/>
    </xf>
    <xf numFmtId="0" fontId="13" fillId="17" borderId="0" applyAlignment="1" pivotButton="0" quotePrefix="0" xfId="0">
      <alignment horizontal="general" vertical="center" wrapText="1"/>
    </xf>
    <xf numFmtId="0" fontId="13" fillId="17" borderId="0" applyAlignment="1" pivotButton="0" quotePrefix="0" xfId="0">
      <alignment horizontal="center" vertical="top"/>
    </xf>
    <xf numFmtId="0" fontId="13" fillId="17" borderId="0" applyAlignment="1" pivotButton="0" quotePrefix="0" xfId="0">
      <alignment horizontal="general" vertical="top" wrapText="1"/>
    </xf>
    <xf numFmtId="0" fontId="13" fillId="18" borderId="0" applyAlignment="1" pivotButton="0" quotePrefix="0" xfId="0">
      <alignment horizontal="center" vertical="center" wrapText="1"/>
    </xf>
    <xf numFmtId="0" fontId="13" fillId="18" borderId="0" applyAlignment="1" pivotButton="0" quotePrefix="0" xfId="0">
      <alignment horizontal="general" vertical="center" wrapText="1"/>
    </xf>
    <xf numFmtId="0" fontId="13" fillId="18" borderId="0" applyAlignment="1" pivotButton="0" quotePrefix="0" xfId="0">
      <alignment horizontal="center" vertical="top"/>
    </xf>
    <xf numFmtId="0" fontId="13" fillId="18" borderId="0" applyAlignment="1" pivotButton="0" quotePrefix="0" xfId="0">
      <alignment horizontal="general" vertical="top" wrapText="1"/>
    </xf>
    <xf numFmtId="0" fontId="13" fillId="0" borderId="0" applyAlignment="1" pivotButton="0" quotePrefix="0" xfId="0">
      <alignment horizontal="general" vertical="bottom"/>
    </xf>
    <xf numFmtId="0" fontId="7" fillId="2" borderId="0" applyAlignment="1" pivotButton="0" quotePrefix="0" xfId="0">
      <alignment horizontal="general" vertical="center" wrapText="1"/>
    </xf>
    <xf numFmtId="0" fontId="14" fillId="10" borderId="0" applyAlignment="1" pivotButton="0" quotePrefix="0" xfId="0">
      <alignment horizontal="general" vertical="center" wrapText="1"/>
    </xf>
    <xf numFmtId="0" fontId="13" fillId="10" borderId="0" applyAlignment="1" pivotButton="0" quotePrefix="0" xfId="0">
      <alignment horizontal="general" vertical="center" wrapText="1"/>
    </xf>
    <xf numFmtId="0" fontId="13" fillId="5" borderId="0" applyAlignment="1" pivotButton="0" quotePrefix="0" xfId="0">
      <alignment horizontal="general" vertical="center" wrapText="1"/>
    </xf>
    <xf numFmtId="0" fontId="13" fillId="5" borderId="0" applyAlignment="1" pivotButton="0" quotePrefix="0" xfId="0">
      <alignment horizontal="center" vertical="center" wrapText="1"/>
    </xf>
    <xf numFmtId="0" fontId="15" fillId="11" borderId="0" applyAlignment="1" pivotButton="0" quotePrefix="0" xfId="0">
      <alignment horizontal="general" vertical="center" wrapText="1"/>
    </xf>
    <xf numFmtId="0" fontId="15" fillId="11" borderId="0" applyAlignment="1" pivotButton="0" quotePrefix="0" xfId="0">
      <alignment horizontal="center" vertical="center" wrapText="1"/>
    </xf>
    <xf numFmtId="0" fontId="13" fillId="0" borderId="0" applyAlignment="1" pivotButton="0" quotePrefix="0" xfId="0">
      <alignment horizontal="general" vertical="center" wrapText="1"/>
    </xf>
    <xf numFmtId="0" fontId="7" fillId="12" borderId="0" applyAlignment="1" pivotButton="0" quotePrefix="0" xfId="0">
      <alignment horizontal="general" vertical="center" wrapText="1"/>
    </xf>
    <xf numFmtId="0" fontId="13" fillId="4" borderId="0" applyAlignment="1" pivotButton="0" quotePrefix="0" xfId="0">
      <alignment horizontal="general" vertical="center" wrapText="1"/>
    </xf>
    <xf numFmtId="0" fontId="13" fillId="4" borderId="0" applyAlignment="1" pivotButton="0" quotePrefix="0" xfId="0">
      <alignment horizontal="center" vertical="center" wrapText="1"/>
    </xf>
    <xf numFmtId="0" fontId="13" fillId="6" borderId="0" applyAlignment="1" pivotButton="0" quotePrefix="0" xfId="0">
      <alignment horizontal="general" vertical="center" wrapText="1"/>
    </xf>
    <xf numFmtId="0" fontId="13" fillId="7" borderId="0" applyAlignment="1" pivotButton="0" quotePrefix="0" xfId="0">
      <alignment horizontal="general" vertical="center" wrapText="1"/>
    </xf>
    <xf numFmtId="0" fontId="12" fillId="0" borderId="0" applyAlignment="1" pivotButton="0" quotePrefix="0" xfId="0">
      <alignment horizontal="general" vertical="bottom"/>
    </xf>
    <xf numFmtId="0" fontId="12" fillId="4"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4">
    <dxf>
      <fill>
        <patternFill patternType="solid">
          <fgColor rgb="FF1F4E78"/>
          <bgColor rgb="FF000000"/>
        </patternFill>
      </fill>
    </dxf>
    <dxf>
      <fill>
        <patternFill patternType="solid">
          <fgColor rgb="FFF7FCF9"/>
          <bgColor rgb="FF000000"/>
        </patternFill>
      </fill>
    </dxf>
    <dxf>
      <fill>
        <patternFill patternType="solid">
          <fgColor rgb="FFF8FBFF"/>
          <bgColor rgb="FF000000"/>
        </patternFill>
      </fill>
    </dxf>
    <dxf>
      <fill>
        <patternFill patternType="solid">
          <fgColor rgb="FFFAF7FF"/>
          <bgColor rgb="FF000000"/>
        </patternFill>
      </fill>
    </dxf>
    <dxf>
      <fill>
        <patternFill patternType="solid">
          <fgColor rgb="FFFFF7FB"/>
          <bgColor rgb="FF000000"/>
        </patternFill>
      </fill>
    </dxf>
    <dxf>
      <fill>
        <patternFill patternType="solid">
          <fgColor rgb="FFFFF9F2"/>
          <bgColor rgb="FF000000"/>
        </patternFill>
      </fill>
    </dxf>
    <dxf>
      <fill>
        <patternFill patternType="solid">
          <fgColor rgb="FF111827"/>
          <bgColor rgb="FF000000"/>
        </patternFill>
      </fill>
    </dxf>
    <dxf>
      <fill>
        <patternFill patternType="solid">
          <fgColor rgb="FFFFFFFF"/>
          <bgColor rgb="FF000000"/>
        </patternFill>
      </fill>
    </dxf>
    <dxf>
      <fill>
        <patternFill patternType="solid">
          <fgColor rgb="FFDCFCE7"/>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166534"/>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DEDED"/>
          <bgColor rgb="FF000000"/>
        </patternFill>
      </fill>
    </dxf>
    <dxf>
      <font>
        <b val="1"/>
        <color rgb="FF166534"/>
      </font>
      <fill>
        <patternFill>
          <bgColor rgb="FFDCFCE7"/>
        </patternFill>
      </fill>
    </dxf>
    <dxf>
      <font>
        <b val="1"/>
        <color rgb="FF92400E"/>
      </font>
      <fill>
        <patternFill>
          <bgColor rgb="FFFEF3C7"/>
        </patternFill>
      </fill>
    </dxf>
    <dxf>
      <font>
        <b val="1"/>
        <color rgb="FF991B1B"/>
      </font>
      <fill>
        <patternFill>
          <bgColor rgb="FFFEE2E2"/>
        </patternFill>
      </fill>
    </dxf>
    <dxf>
      <fill>
        <patternFill>
          <bgColor rgb="FFC6EFCE"/>
        </patternFill>
      </fill>
    </dxf>
    <dxf>
      <fill>
        <patternFill>
          <bgColor rgb="FFDDEBF7"/>
        </patternFill>
      </fill>
    </dxf>
    <dxf>
      <fill>
        <patternFill>
          <bgColor rgb="FFFFEB9C"/>
        </patternFill>
      </fill>
    </dxf>
    <dxf>
      <fill>
        <patternFill>
          <bgColor rgb="FFEDEDED"/>
        </patternFill>
      </fill>
    </dxf>
  </dxfs>
  <colors>
    <indexedColors>
      <rgbColor rgb="FF000000"/>
      <rgbColor rgb="FFFFFFFF"/>
      <rgbColor rgb="FFFF0000"/>
      <rgbColor rgb="FF00FF00"/>
      <rgbColor rgb="FF0000FF"/>
      <rgbColor rgb="FFFFF9F2"/>
      <rgbColor rgb="FFFF00FF"/>
      <rgbColor rgb="FF00FFFF"/>
      <rgbColor rgb="FF991B1B"/>
      <rgbColor rgb="FF166534"/>
      <rgbColor rgb="FF000080"/>
      <rgbColor rgb="FF808000"/>
      <rgbColor rgb="FF800080"/>
      <rgbColor rgb="FF156082"/>
      <rgbColor rgb="FFB7B7B7"/>
      <rgbColor rgb="FF757575"/>
      <rgbColor rgb="FFEFF6FF"/>
      <rgbColor rgb="FF993366"/>
      <rgbColor rgb="FFFEF3C7"/>
      <rgbColor rgb="FFDCFCE7"/>
      <rgbColor rgb="FF660066"/>
      <rgbColor rgb="FFF8FAFC"/>
      <rgbColor rgb="FF1F4E78"/>
      <rgbColor rgb="FFD0D7E2"/>
      <rgbColor rgb="FF000080"/>
      <rgbColor rgb="FFFF00FF"/>
      <rgbColor rgb="FFF7FCF9"/>
      <rgbColor rgb="FF00FFFF"/>
      <rgbColor rgb="FF800080"/>
      <rgbColor rgb="FF800000"/>
      <rgbColor rgb="FF475569"/>
      <rgbColor rgb="FF0000FF"/>
      <rgbColor rgb="FF00CCFF"/>
      <rgbColor rgb="FFDDEBF7"/>
      <rgbColor rgb="FFC6EFCE"/>
      <rgbColor rgb="FFFFEB9C"/>
      <rgbColor rgb="FFD9D9D9"/>
      <rgbColor rgb="FFEDEDED"/>
      <rgbColor rgb="FFE2E8F0"/>
      <rgbColor rgb="FFFEE2E2"/>
      <rgbColor rgb="FF3366FF"/>
      <rgbColor rgb="FF33CCCC"/>
      <rgbColor rgb="FFF8FBFF"/>
      <rgbColor rgb="FFFFF7FB"/>
      <rgbColor rgb="FFFF9900"/>
      <rgbColor rgb="FFFF6600"/>
      <rgbColor rgb="FF64748B"/>
      <rgbColor rgb="FFFAF7FF"/>
      <rgbColor rgb="FF163A5F"/>
      <rgbColor rgb="FF52627A"/>
      <rgbColor rgb="FF111827"/>
      <rgbColor rgb="FF0F172A"/>
      <rgbColor rgb="FF92400E"/>
      <rgbColor rgb="FF993366"/>
      <rgbColor rgb="FF334155"/>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0" strike="noStrike">
                <a:solidFill>
                  <a:srgbClr val="757575"/>
                </a:solidFill>
                <a:uFillTx/>
                <a:latin typeface="Calibri"/>
                <a:ea typeface="Calibri"/>
              </a:rPr>
              <a:t>Function theo Sprint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"Total functions"</f>
              <strCache>
                <ptCount val="1"/>
                <pt idx="0">
                  <v>Total functions</v>
                </pt>
              </strCache>
            </strRef>
          </tx>
          <spPr>
            <a:solidFill xmlns:a="http://schemas.openxmlformats.org/drawingml/2006/main">
              <a:srgbClr val="156082"/>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ea typeface="Calibri"/>
                  </a:defRPr>
                </a:pPr>
                <a:r>
                  <a:t/>
                </a:r>
              </a:p>
            </txPr>
            <dLblPos val="outEnd"/>
            <showLegendKey val="0"/>
            <showVal val="0"/>
            <showCatName val="0"/>
            <showSerName val="0"/>
            <showPercent val="0"/>
            <showLeaderLines val="1"/>
          </dLbls>
          <cat>
            <strRef>
              <f>'Sprint Summary'!$A$5:$A$9</f>
              <strCache>
                <ptCount val="5"/>
                <pt idx="0">
                  <v>Sprint 1</v>
                </pt>
                <pt idx="1">
                  <v>Sprint 2</v>
                </pt>
                <pt idx="2">
                  <v>Sprint 3</v>
                </pt>
                <pt idx="3">
                  <v>Sprint 4</v>
                </pt>
                <pt idx="4">
                  <v>Tổng</v>
                </pt>
              </strCache>
            </strRef>
          </cat>
          <val>
            <numRef>
              <f>'Sprint Summary'!$E$5:$E$9</f>
              <numCache>
                <formatCode>General</formatCode>
                <ptCount val="5"/>
                <pt idx="0">
                  <v>28</v>
                </pt>
                <pt idx="1">
                  <v>18</v>
                </pt>
                <pt idx="2">
                  <v>26</v>
                </pt>
                <pt idx="3">
                  <v>15</v>
                </pt>
                <pt idx="4">
                  <v>87</v>
                </pt>
              </numCache>
            </numRef>
          </val>
        </ser>
        <gapWidth val="150"/>
        <overlap val="0"/>
        <axId val="45304257"/>
        <axId val="94253824"/>
      </barChart>
      <catAx>
        <axId val="45304257"/>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0" strike="noStrike">
                    <a:solidFill>
                      <a:srgbClr val="000000"/>
                    </a:solidFill>
                    <a:uFillTx/>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Calibri"/>
              </a:defRPr>
            </a:pPr>
            <a:r>
              <a:t/>
            </a:r>
          </a:p>
        </txPr>
        <crossAx val="94253824"/>
        <crosses val="autoZero"/>
        <auto val="1"/>
        <lblAlgn val="ctr"/>
        <lblOffset val="100"/>
        <noMultiLvlLbl val="0"/>
      </catAx>
      <valAx>
        <axId val="94253824"/>
        <scaling>
          <orientation val="minMax"/>
        </scaling>
        <delete val="0"/>
        <axPos val="l"/>
        <majorGridlines>
          <spPr>
            <a:ln xmlns:a="http://schemas.openxmlformats.org/drawingml/2006/main" w="6480">
              <a:solidFill>
                <a:srgbClr val="B7B7B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0" strike="noStrike">
                    <a:solidFill>
                      <a:srgbClr val="000000"/>
                    </a:solidFill>
                    <a:uFillTx/>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Calibri"/>
              </a:defRPr>
            </a:pPr>
            <a:r>
              <a:t/>
            </a:r>
          </a:p>
        </txPr>
        <crossAx val="4530425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10</col>
      <colOff>0</colOff>
      <row>3</row>
      <rowOff>0</rowOff>
    </from>
    <to>
      <col>16</col>
      <colOff>153360</colOff>
      <row>19</row>
      <rowOff>141480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UseCaseRoleSplit" displayName="UseCaseRoleSplit" ref="A4:M80" headerRowCount="1" totalsRowCount="0" totalsRowShown="0">
  <tableColumns count="13">
    <tableColumn id="1" name="#"/>
    <tableColumn id="2" name="Flow"/>
    <tableColumn id="3" name="US"/>
    <tableColumn id="4" name="Function / Screen (Mô tả)"/>
    <tableColumn id="5" name="Actor / Role"/>
    <tableColumn id="6" name="N"/>
    <tableColumn id="7" name="Level"/>
    <tableColumn id="8" name="BE"/>
    <tableColumn id="9" name="FE"/>
    <tableColumn id="10" name="Sprint"/>
    <tableColumn id="11" name="From–To"/>
    <tableColumn id="12" name="ERD entities"/>
    <tableColumn id="13" name="Business Rule / Notes (Giải thích)"/>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pitchFamily="0" charset="1"/>
        <a:ea typeface="Carlito" pitchFamily="0" charset="1"/>
        <a:cs typeface="Carlito" pitchFamily="0" charset="1"/>
      </a:majorFont>
      <a:minorFont>
        <a:latin typeface="Carlito" pitchFamily="0" charset="1"/>
        <a:ea typeface="Carlito" pitchFamily="0" charset="1"/>
        <a:cs typeface="Carlito"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H4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6" customWidth="1" style="46" min="1" max="1"/>
    <col width="40" customWidth="1" style="46" min="2" max="2"/>
    <col width="90" customWidth="1" style="46" min="3" max="3"/>
    <col width="34" customWidth="1" style="46" min="4" max="4"/>
    <col width="12" customWidth="1" style="46" min="5" max="5"/>
    <col width="10" customWidth="1" style="46" min="6" max="6"/>
    <col width="12" customWidth="1" style="46" min="7" max="7"/>
    <col width="10" customWidth="1" style="46" min="8" max="8"/>
  </cols>
  <sheetData>
    <row r="1" ht="17.25" customHeight="1" s="47">
      <c r="A1" s="48" t="inlineStr">
        <is>
          <t>SWP391 – ĐỀ TÀI 4: HỆ THỐNG QUẢN LÝ TRUNG TÂM THỂ THAO (SPORTS CENTER MANAGEMENT SYSTEM)</t>
        </is>
      </c>
    </row>
    <row r="2" ht="15" customHeight="1" s="47">
      <c r="A2" s="49" t="inlineStr">
        <is>
          <t>Actor, chức năng và các flow của đề tài. Số liệu ở bảng Flow tự tính từ tab Phân chia UC.</t>
        </is>
      </c>
    </row>
    <row r="3"/>
    <row r="4" ht="15" customHeight="1" s="47">
      <c r="A4" s="50" t="inlineStr">
        <is>
          <t>1. Actor và chức năng</t>
        </is>
      </c>
    </row>
    <row r="5" ht="15" customHeight="1" s="47">
      <c r="A5" s="51" t="inlineStr">
        <is>
          <t>Actor</t>
        </is>
      </c>
      <c r="B5" s="51" t="inlineStr">
        <is>
          <t>Vai trò</t>
        </is>
      </c>
      <c r="C5" s="51" t="inlineStr">
        <is>
          <t>Chức năng</t>
        </is>
      </c>
    </row>
    <row r="6" ht="15" customHeight="1" s="47">
      <c r="A6" s="52" t="inlineStr">
        <is>
          <t>Center Manager</t>
        </is>
      </c>
      <c r="B6" s="53" t="inlineStr">
        <is>
          <t>Quản lý trung tâm</t>
        </is>
      </c>
      <c r="C6" s="53" t="inlineStr">
        <is>
          <t>+ Quản lý danh sách thành viên, huấn luyện viên và nhân viên của trung tâm.</t>
        </is>
      </c>
    </row>
    <row r="7" ht="15" customHeight="1" s="47">
      <c r="A7" s="52" t="n"/>
      <c r="B7" s="53" t="n"/>
      <c r="C7" s="53" t="inlineStr">
        <is>
          <t>+ Quản lý các lớp học, bộ môn, phòng tập và lịch hoạt động.</t>
        </is>
      </c>
    </row>
    <row r="8" ht="15" customHeight="1" s="47">
      <c r="A8" s="52" t="n"/>
      <c r="B8" s="53" t="n"/>
      <c r="C8" s="53" t="inlineStr">
        <is>
          <t>+ Phân công huấn luyện viên phụ trách từng lớp học.</t>
        </is>
      </c>
    </row>
    <row r="9" ht="15" customHeight="1" s="47">
      <c r="A9" s="52" t="n"/>
      <c r="B9" s="53" t="n"/>
      <c r="C9" s="53" t="inlineStr">
        <is>
          <t>+ Xem báo cáo số lượng thành viên, tình trạng đăng ký lớp và doanh thu theo thời gian.</t>
        </is>
      </c>
    </row>
    <row r="10" ht="15" customHeight="1" s="47">
      <c r="A10" s="52" t="n"/>
      <c r="B10" s="53" t="n"/>
      <c r="C10" s="53" t="inlineStr">
        <is>
          <t>+ Quản lý các gói thành viên, học phí và thời hạn sử dụng.</t>
        </is>
      </c>
    </row>
    <row r="11" ht="15" customHeight="1" s="47">
      <c r="A11" s="52" t="n"/>
      <c r="B11" s="53" t="n"/>
      <c r="C11" s="53" t="inlineStr">
        <is>
          <t>+ Phân quyền truy cập hệ thống cho từng vai trò.</t>
        </is>
      </c>
    </row>
    <row r="12" ht="15" customHeight="1" s="47">
      <c r="A12" s="52" t="n"/>
      <c r="B12" s="53" t="n"/>
      <c r="C12" s="53" t="inlineStr">
        <is>
          <t>+ Xem lịch sử thao tác quan trọng trên hệ thống.</t>
        </is>
      </c>
    </row>
    <row r="13" ht="15" customHeight="1" s="47">
      <c r="A13" s="52" t="inlineStr">
        <is>
          <t>Coach</t>
        </is>
      </c>
      <c r="B13" s="53" t="inlineStr">
        <is>
          <t>Huấn luyện viên</t>
        </is>
      </c>
      <c r="C13" s="53" t="inlineStr">
        <is>
          <t>+ Xem lịch dạy và danh sách học viên trong các lớp phụ trách.</t>
        </is>
      </c>
    </row>
    <row r="14" ht="15" customHeight="1" s="47">
      <c r="A14" s="52" t="n"/>
      <c r="B14" s="53" t="n"/>
      <c r="C14" s="53" t="inlineStr">
        <is>
          <t>+ Xem thông tin cơ bản và mục tiêu tập luyện của từng học viên.</t>
        </is>
      </c>
    </row>
    <row r="15" ht="15" customHeight="1" s="47">
      <c r="A15" s="52" t="n"/>
      <c r="B15" s="53" t="n"/>
      <c r="C15" s="53" t="inlineStr">
        <is>
          <t>+ Tạo kế hoạch tập luyện cho cá nhân hoặc cho cả lớp.</t>
        </is>
      </c>
    </row>
    <row r="16" ht="15" customHeight="1" s="47">
      <c r="A16" s="52" t="n"/>
      <c r="B16" s="53" t="n"/>
      <c r="C16" s="53" t="inlineStr">
        <is>
          <t>+ Ghi nhận kết quả tập luyện của học viên sau mỗi buổi.</t>
        </is>
      </c>
    </row>
    <row r="17" ht="15" customHeight="1" s="47">
      <c r="A17" s="52" t="n"/>
      <c r="B17" s="53" t="n"/>
      <c r="C17" s="53" t="inlineStr">
        <is>
          <t>+ Đánh giá tiến độ của học viên và ghi nhận nhận xét.</t>
        </is>
      </c>
    </row>
    <row r="18" ht="15" customHeight="1" s="47">
      <c r="A18" s="52" t="n"/>
      <c r="B18" s="53" t="n"/>
      <c r="C18" s="53" t="inlineStr">
        <is>
          <t>+ Điểm danh học viên trong từng buổi tập.</t>
        </is>
      </c>
    </row>
    <row r="19" ht="15" customHeight="1" s="47">
      <c r="A19" s="52" t="n"/>
      <c r="B19" s="53" t="n"/>
      <c r="C19" s="53" t="inlineStr">
        <is>
          <t>+ Gửi thông báo hoặc bài tập về nhà cho học viên.</t>
        </is>
      </c>
    </row>
    <row r="20" ht="15" customHeight="1" s="47">
      <c r="A20" s="52" t="n"/>
      <c r="B20" s="53" t="n"/>
      <c r="C20" s="53" t="inlineStr">
        <is>
          <t>+ Sử dụng AI để gợi ý bài tập phù hợp dựa trên mục tiêu, trình độ và lịch sử tập luyện của học viên.</t>
        </is>
      </c>
    </row>
    <row r="21" ht="15" customHeight="1" s="47">
      <c r="A21" s="52" t="inlineStr">
        <is>
          <t>Member</t>
        </is>
      </c>
      <c r="B21" s="53" t="inlineStr">
        <is>
          <t>Học viên / Thành viên</t>
        </is>
      </c>
      <c r="C21" s="53" t="inlineStr">
        <is>
          <t>+ Đăng ký tài khoản và cập nhật thông tin cá nhân.</t>
        </is>
      </c>
    </row>
    <row r="22" ht="15" customHeight="1" s="47">
      <c r="A22" s="52" t="n"/>
      <c r="B22" s="53" t="n"/>
      <c r="C22" s="53" t="inlineStr">
        <is>
          <t>+ Xem các gói thành viên và đăng ký/gia hạn gói tập.</t>
        </is>
      </c>
    </row>
    <row r="23" ht="15" customHeight="1" s="47">
      <c r="A23" s="52" t="n"/>
      <c r="B23" s="53" t="n"/>
      <c r="C23" s="53" t="inlineStr">
        <is>
          <t>+ Xem danh sách các lớp học và lịch học.</t>
        </is>
      </c>
    </row>
    <row r="24" ht="15" customHeight="1" s="47">
      <c r="A24" s="52" t="n"/>
      <c r="B24" s="53" t="n"/>
      <c r="C24" s="53" t="inlineStr">
        <is>
          <t>+ Đăng ký hoặc hủy đăng ký lớp học.</t>
        </is>
      </c>
    </row>
    <row r="25" ht="15" customHeight="1" s="47">
      <c r="A25" s="52" t="n"/>
      <c r="B25" s="53" t="n"/>
      <c r="C25" s="53" t="inlineStr">
        <is>
          <t>+ Xem lịch tập cá nhân và thông tin huấn luyện viên.</t>
        </is>
      </c>
    </row>
    <row r="26" ht="15" customHeight="1" s="47">
      <c r="A26" s="52" t="n"/>
      <c r="B26" s="53" t="n"/>
      <c r="C26" s="53" t="inlineStr">
        <is>
          <t>+ Xem lịch sử điểm danh và kết quả tập luyện.</t>
        </is>
      </c>
    </row>
    <row r="27" ht="15" customHeight="1" s="47">
      <c r="A27" s="52" t="n"/>
      <c r="B27" s="53" t="n"/>
      <c r="C27" s="53" t="inlineStr">
        <is>
          <t>+ Xem kế hoạch tập luyện và nhận xét từ huấn luyện viên.</t>
        </is>
      </c>
    </row>
    <row r="28" ht="15" customHeight="1" s="47">
      <c r="A28" s="52" t="n"/>
      <c r="B28" s="53" t="n"/>
      <c r="C28" s="53" t="inlineStr">
        <is>
          <t>+ Gửi câu hỏi cho hệ thống AI về lịch tập, bài tập hoặc các dịch vụ của trung tâm.</t>
        </is>
      </c>
    </row>
    <row r="29" ht="15" customHeight="1" s="47">
      <c r="A29" s="52" t="n"/>
      <c r="B29" s="53" t="n"/>
      <c r="C29" s="53" t="inlineStr">
        <is>
          <t>+ Nhận thông báo về lịch học, thay đổi lịch hoặc thời hạn gói thành viên.</t>
        </is>
      </c>
    </row>
    <row r="30" ht="15" customHeight="1" s="47">
      <c r="A30" s="52" t="inlineStr">
        <is>
          <t>Receptionist</t>
        </is>
      </c>
      <c r="B30" s="53" t="inlineStr">
        <is>
          <t>Nhân viên lễ tân</t>
        </is>
      </c>
      <c r="C30" s="53" t="inlineStr">
        <is>
          <t>+ Tìm kiếm và xem thông tin thành viên.</t>
        </is>
      </c>
    </row>
    <row r="31" ht="15" customHeight="1" s="47">
      <c r="A31" s="52" t="n"/>
      <c r="B31" s="53" t="n"/>
      <c r="C31" s="53" t="inlineStr">
        <is>
          <t>+ Đăng ký thành viên mới tại quầy.</t>
        </is>
      </c>
    </row>
    <row r="32" ht="15" customHeight="1" s="47">
      <c r="A32" s="52" t="n"/>
      <c r="B32" s="53" t="n"/>
      <c r="C32" s="53" t="inlineStr">
        <is>
          <t>+ Quản lý đăng ký/gia hạn các gói thành viên.</t>
        </is>
      </c>
    </row>
    <row r="33" ht="15" customHeight="1" s="47">
      <c r="A33" s="52" t="n"/>
      <c r="B33" s="53" t="n"/>
      <c r="C33" s="53" t="inlineStr">
        <is>
          <t>+ Kiểm tra trạng thái gói tập và thời hạn sử dụng của thành viên.</t>
        </is>
      </c>
    </row>
    <row r="34" ht="15" customHeight="1" s="47">
      <c r="A34" s="52" t="n"/>
      <c r="B34" s="53" t="n"/>
      <c r="C34" s="53" t="inlineStr">
        <is>
          <t>+ Điểm danh thành viên khi đến trung tâm.</t>
        </is>
      </c>
    </row>
    <row r="35" ht="15" customHeight="1" s="47">
      <c r="A35" s="52" t="n"/>
      <c r="B35" s="53" t="n"/>
      <c r="C35" s="53" t="inlineStr">
        <is>
          <t>+ Đăng ký lớp học hoặc hỗ trợ hủy lớp cho thành viên.</t>
        </is>
      </c>
    </row>
    <row r="36" ht="15" customHeight="1" s="47">
      <c r="A36" s="52" t="n"/>
      <c r="B36" s="53" t="n"/>
      <c r="C36" s="53" t="inlineStr">
        <is>
          <t>+ Ghi nhận các khoản thanh toán và in/xuất hóa đơn.</t>
        </is>
      </c>
    </row>
    <row r="37" ht="15" customHeight="1" s="47">
      <c r="A37" s="52" t="n"/>
      <c r="B37" s="53" t="n"/>
      <c r="C37" s="53" t="inlineStr">
        <is>
          <t>+ Tiếp nhận và ghi nhận các yêu cầu hỗ trợ từ thành viên.</t>
        </is>
      </c>
    </row>
    <row r="38"/>
    <row r="39" ht="15" customHeight="1" s="47">
      <c r="A39" s="50" t="inlineStr">
        <is>
          <t>2. Các flow</t>
        </is>
      </c>
    </row>
    <row r="40" ht="15" customHeight="1" s="47">
      <c r="A40" s="51" t="inlineStr">
        <is>
          <t>Flow</t>
        </is>
      </c>
      <c r="B40" s="51" t="inlineStr">
        <is>
          <t>Tên flow</t>
        </is>
      </c>
      <c r="C40" s="51" t="inlineStr">
        <is>
          <t>Loại</t>
        </is>
      </c>
      <c r="D40" s="51" t="inlineStr">
        <is>
          <t>Sprint</t>
        </is>
      </c>
      <c r="E40" s="51" t="inlineStr">
        <is>
          <t>Số function</t>
        </is>
      </c>
      <c r="F40" s="51" t="inlineStr">
        <is>
          <t>Xong</t>
        </is>
      </c>
      <c r="G40" s="51" t="inlineStr">
        <is>
          <t>Chờ review</t>
        </is>
      </c>
      <c r="H40" s="51" t="inlineStr">
        <is>
          <t>Chưa làm</t>
        </is>
      </c>
    </row>
    <row r="41" ht="15" customHeight="1" s="47">
      <c r="A41" s="52" t="inlineStr">
        <is>
          <t>Flow 1</t>
        </is>
      </c>
      <c r="B41" s="53" t="inlineStr">
        <is>
          <t>User and membership management</t>
        </is>
      </c>
      <c r="C41" s="53" t="inlineStr">
        <is>
          <t>Bắt buộc</t>
        </is>
      </c>
      <c r="D41" s="53" t="inlineStr">
        <is>
          <t>Sprint 1 (+ làm sâu ngoại lệ ở Sprint 3)</t>
        </is>
      </c>
      <c r="E41" s="54">
        <f>COUNTIF('Phân chia UC'!$B$5:$B$113,"Flow 1 – User &amp; Membership")</f>
        <v/>
      </c>
      <c r="F41" s="54">
        <f>COUNTIFS('Phân chia UC'!$B$5:$B$113,"Flow 1 – User &amp; Membership",'Phân chia UC'!$N$5:$N$113,"Done")</f>
        <v/>
      </c>
      <c r="G41" s="54">
        <f>COUNTIFS('Phân chia UC'!$B$5:$B$113,"Flow 1 – User &amp; Membership",'Phân chia UC'!$N$5:$N$113,"Review")</f>
        <v/>
      </c>
      <c r="H41" s="54">
        <f>COUNTIFS('Phân chia UC'!$B$5:$B$113,"Flow 1 – User &amp; Membership",'Phân chia UC'!$N$5:$N$113,"To Do")</f>
        <v/>
      </c>
    </row>
    <row r="42" ht="15" customHeight="1" s="47">
      <c r="A42" s="52" t="inlineStr">
        <is>
          <t>Flow 2</t>
        </is>
      </c>
      <c r="B42" s="53" t="inlineStr">
        <is>
          <t>Class booking and schedule management</t>
        </is>
      </c>
      <c r="C42" s="53" t="inlineStr">
        <is>
          <t>Bắt buộc</t>
        </is>
      </c>
      <c r="D42" s="53" t="inlineStr">
        <is>
          <t>Sprint 2 (+ đổi/huỷ buổi, danh sách chờ, ngoại lệ ở Sprint 3)</t>
        </is>
      </c>
      <c r="E42" s="54">
        <f>COUNTIF('Phân chia UC'!$B$5:$B$113,"Flow 2 – Class Booking &amp; Schedule")</f>
        <v/>
      </c>
      <c r="F42" s="54">
        <f>COUNTIFS('Phân chia UC'!$B$5:$B$113,"Flow 2 – Class Booking &amp; Schedule",'Phân chia UC'!$N$5:$N$113,"Done")</f>
        <v/>
      </c>
      <c r="G42" s="54">
        <f>COUNTIFS('Phân chia UC'!$B$5:$B$113,"Flow 2 – Class Booking &amp; Schedule",'Phân chia UC'!$N$5:$N$113,"Review")</f>
        <v/>
      </c>
      <c r="H42" s="54">
        <f>COUNTIFS('Phân chia UC'!$B$5:$B$113,"Flow 2 – Class Booking &amp; Schedule",'Phân chia UC'!$N$5:$N$113,"To Do")</f>
        <v/>
      </c>
    </row>
    <row r="43" ht="15" customHeight="1" s="47">
      <c r="A43" s="52" t="inlineStr">
        <is>
          <t>Flow 3</t>
        </is>
      </c>
      <c r="B43" s="53" t="inlineStr">
        <is>
          <t>Payment and report management</t>
        </is>
      </c>
      <c r="C43" s="53" t="inlineStr">
        <is>
          <t>Bắt buộc</t>
        </is>
      </c>
      <c r="D43" s="53" t="inlineStr">
        <is>
          <t>Sprint 1 (thu tại quầy) + Sprint 3 (SePay, đối soát, báo cáo)</t>
        </is>
      </c>
      <c r="E43" s="54">
        <f>COUNTIF('Phân chia UC'!$B$5:$B$113,"Flow 3 – Payment &amp; Report")</f>
        <v/>
      </c>
      <c r="F43" s="54">
        <f>COUNTIFS('Phân chia UC'!$B$5:$B$113,"Flow 3 – Payment &amp; Report",'Phân chia UC'!$N$5:$N$113,"Done")</f>
        <v/>
      </c>
      <c r="G43" s="54">
        <f>COUNTIFS('Phân chia UC'!$B$5:$B$113,"Flow 3 – Payment &amp; Report",'Phân chia UC'!$N$5:$N$113,"Review")</f>
        <v/>
      </c>
      <c r="H43" s="54">
        <f>COUNTIFS('Phân chia UC'!$B$5:$B$113,"Flow 3 – Payment &amp; Report",'Phân chia UC'!$N$5:$N$113,"To Do")</f>
        <v/>
      </c>
    </row>
    <row r="44" ht="15" customHeight="1" s="47">
      <c r="A44" s="52" t="inlineStr">
        <is>
          <t>Flow 4</t>
        </is>
      </c>
      <c r="B44" s="53" t="inlineStr">
        <is>
          <t>Training and attendance management</t>
        </is>
      </c>
      <c r="C44" s="53" t="inlineStr">
        <is>
          <t>Tuỳ chọn</t>
        </is>
      </c>
      <c r="D44" s="53" t="inlineStr">
        <is>
          <t>Sprint 3 (điểm danh #62–64) + Sprint 4</t>
        </is>
      </c>
      <c r="E44" s="54">
        <f>COUNTIF('Phân chia UC'!$B$5:$B$113,"Flow 4 – Training &amp; Attendance")</f>
        <v/>
      </c>
      <c r="F44" s="54">
        <f>COUNTIFS('Phân chia UC'!$B$5:$B$113,"Flow 4 – Training &amp; Attendance",'Phân chia UC'!$N$5:$N$113,"Done")</f>
        <v/>
      </c>
      <c r="G44" s="54">
        <f>COUNTIFS('Phân chia UC'!$B$5:$B$113,"Flow 4 – Training &amp; Attendance",'Phân chia UC'!$N$5:$N$113,"Review")</f>
        <v/>
      </c>
      <c r="H44" s="54">
        <f>COUNTIFS('Phân chia UC'!$B$5:$B$113,"Flow 4 – Training &amp; Attendance",'Phân chia UC'!$N$5:$N$113,"To Do")</f>
        <v/>
      </c>
    </row>
    <row r="45" ht="15" customHeight="1" s="47">
      <c r="A45" s="52" t="inlineStr">
        <is>
          <t>Flow 5, 6</t>
        </is>
      </c>
      <c r="B45" s="53" t="inlineStr">
        <is>
          <t>AI workout recommendation; AI assistant</t>
        </is>
      </c>
      <c r="C45" s="53" t="inlineStr">
        <is>
          <t>Tuỳ chọn</t>
        </is>
      </c>
      <c r="D45" s="53" t="inlineStr">
        <is>
          <t>Sprint 4</t>
        </is>
      </c>
      <c r="E45" s="54">
        <f>COUNTIF('Phân chia UC'!$B$5:$B$113,"Flow 5, 6 – AI")</f>
        <v/>
      </c>
      <c r="F45" s="54">
        <f>COUNTIFS('Phân chia UC'!$B$5:$B$113,"Flow 5, 6 – AI",'Phân chia UC'!$N$5:$N$113,"Done")</f>
        <v/>
      </c>
      <c r="G45" s="54">
        <f>COUNTIFS('Phân chia UC'!$B$5:$B$113,"Flow 5, 6 – AI",'Phân chia UC'!$N$5:$N$113,"Review")</f>
        <v/>
      </c>
      <c r="H45" s="54">
        <f>COUNTIFS('Phân chia UC'!$B$5:$B$113,"Flow 5, 6 – AI",'Phân chia UC'!$N$5:$N$113,"To Do")</f>
        <v/>
      </c>
    </row>
    <row r="46" ht="15" customHeight="1" s="47">
      <c r="A46" s="52" t="inlineStr">
        <is>
          <t>Khác</t>
        </is>
      </c>
      <c r="B46" s="53" t="inlineStr">
        <is>
          <t>Tài liệu, chất lượng, kiểm thử (bổ sung)</t>
        </is>
      </c>
      <c r="C46" s="53" t="inlineStr">
        <is>
          <t>Bổ sung</t>
        </is>
      </c>
      <c r="D46" s="53" t="inlineStr">
        <is>
          <t>Sprint 3</t>
        </is>
      </c>
      <c r="E46" s="54">
        <f>COUNTIF('Phân chia UC'!$B$5:$B$113,"Khác – Tài liệu &amp; chất lượng")</f>
        <v/>
      </c>
      <c r="F46" s="54">
        <f>COUNTIFS('Phân chia UC'!$B$5:$B$113,"Khác – Tài liệu &amp; chất lượng",'Phân chia UC'!$N$5:$N$113,"Done")</f>
        <v/>
      </c>
      <c r="G46" s="54">
        <f>COUNTIFS('Phân chia UC'!$B$5:$B$113,"Khác – Tài liệu &amp; chất lượng",'Phân chia UC'!$N$5:$N$113,"Review")</f>
        <v/>
      </c>
      <c r="H46" s="54">
        <f>COUNTIFS('Phân chia UC'!$B$5:$B$113,"Khác – Tài liệu &amp; chất lượng",'Phân chia UC'!$N$5:$N$113,"To Do")</f>
        <v/>
      </c>
    </row>
    <row r="47" ht="15" customHeight="1" s="47">
      <c r="A47" s="52" t="inlineStr">
        <is>
          <t>Tổng</t>
        </is>
      </c>
      <c r="B47" s="52" t="n"/>
      <c r="C47" s="52" t="n"/>
      <c r="D47" s="52" t="n"/>
      <c r="E47" s="55">
        <f>SUM(E41:E46)</f>
        <v/>
      </c>
      <c r="F47" s="55">
        <f>SUM(F41:F46)</f>
        <v/>
      </c>
      <c r="G47" s="55">
        <f>SUM(G41:G46)</f>
        <v/>
      </c>
      <c r="H47" s="55">
        <f>SUM(H41:H46)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113"/>
  <sheetViews>
    <sheetView showFormulas="0" showGridLines="1"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E5" activeCellId="0" sqref="E5"/>
    </sheetView>
  </sheetViews>
  <sheetFormatPr baseColWidth="8" defaultColWidth="12.62890625" defaultRowHeight="15" customHeight="1" zeroHeight="0" outlineLevelRow="0"/>
  <cols>
    <col width="6" customWidth="1" style="46" min="1" max="1"/>
    <col width="24" customWidth="1" style="46" min="2" max="2"/>
    <col width="12" customWidth="1" style="46" min="3" max="3"/>
    <col width="34" customWidth="1" style="46" min="4" max="4"/>
    <col width="25" customWidth="1" style="46" min="5" max="5"/>
    <col width="6" customWidth="1" style="46" min="6" max="6"/>
    <col width="10" customWidth="1" style="46" min="7" max="9"/>
    <col width="18" customWidth="1" style="46" min="10" max="10"/>
    <col width="24" customWidth="1" style="46" min="11" max="11"/>
    <col width="38" customWidth="1" style="46" min="12" max="12"/>
    <col width="74" customWidth="1" style="46" min="13" max="13"/>
    <col width="13" customWidth="1" style="46" min="14" max="26"/>
  </cols>
  <sheetData>
    <row r="1" ht="27.75" customHeight="1" s="47">
      <c r="A1" s="56" t="inlineStr">
        <is>
          <t>SWP391 – USE CASE POINT &amp; SPRINT PLAN | PHÂN CHIA VAI TRÒ</t>
        </is>
      </c>
    </row>
    <row r="2" ht="15" customHeight="1" s="47">
      <c r="A2" s="57" t="inlineStr">
        <is>
          <t>Bảng chi tiết 109 function • Sprint 1–4 • cột Flow/Actor/ERD đã sửa lại theo đúng mã UC (bản trước bị lệch dòng) • mô tả và quy tắc theo SPRINT PLAN v3, BUSINESS RULES và đặc tả UC bổ sung 14/10/2026</t>
        </is>
      </c>
    </row>
    <row r="3" ht="15" customHeight="1" s="47">
      <c r="A3" s="58" t="inlineStr">
        <is>
          <t>Sprint 1–2 đã xong 100% và đã merge main. #77–87 là phần Nhanh làm trước Sprint 3 (13–14/10, PR #3). Sprint 3 được chia lại 14/10: Nhanh tập trung SePay đối soát (#88–96); kéo điểm danh #62–64 từ Sprint 4 xuống; thêm ngoại lệ làm sâu Flow 1 (#98–102) và Flow 2 (#103–108). Task sửa UI từ rà soát ảnh chụp nằm ở task sheet Sprint 3. * = bảng có trong project/đề xuất nhưng không có trên ảnh ERD conceptual.</t>
        </is>
      </c>
    </row>
    <row r="4" ht="31.5" customHeight="1" s="47">
      <c r="A4" s="59" t="inlineStr">
        <is>
          <t>#</t>
        </is>
      </c>
      <c r="B4" s="59" t="inlineStr">
        <is>
          <t>Flow</t>
        </is>
      </c>
      <c r="C4" s="59" t="inlineStr">
        <is>
          <t>US</t>
        </is>
      </c>
      <c r="D4" s="59" t="inlineStr">
        <is>
          <t>Function / Screen (Mô tả)</t>
        </is>
      </c>
      <c r="E4" s="59" t="inlineStr">
        <is>
          <t>Actor / Role</t>
        </is>
      </c>
      <c r="F4" s="59" t="inlineStr">
        <is>
          <t>N</t>
        </is>
      </c>
      <c r="G4" s="59" t="inlineStr">
        <is>
          <t>Level</t>
        </is>
      </c>
      <c r="H4" s="59" t="inlineStr">
        <is>
          <t>BE</t>
        </is>
      </c>
      <c r="I4" s="59" t="inlineStr">
        <is>
          <t>FE</t>
        </is>
      </c>
      <c r="J4" s="59" t="inlineStr">
        <is>
          <t>Sprint</t>
        </is>
      </c>
      <c r="K4" s="59" t="inlineStr">
        <is>
          <t>From–To</t>
        </is>
      </c>
      <c r="L4" s="59" t="inlineStr">
        <is>
          <t>ERD entities</t>
        </is>
      </c>
      <c r="M4" s="59" t="inlineStr">
        <is>
          <t>Business Rule / Notes (Giải thích)</t>
        </is>
      </c>
      <c r="N4" s="59" t="inlineStr">
        <is>
          <t>Trạng thái</t>
        </is>
      </c>
      <c r="O4" s="59" t="inlineStr">
        <is>
          <t>Nhánh / PR</t>
        </is>
      </c>
    </row>
    <row r="5" ht="73.5" customHeight="1" s="47">
      <c r="A5" s="60" t="n">
        <v>1</v>
      </c>
      <c r="B5" s="61" t="inlineStr">
        <is>
          <t>Flow 1 – User &amp; Membership</t>
        </is>
      </c>
      <c r="C5" s="60" t="inlineStr">
        <is>
          <t>UC-UM-11</t>
        </is>
      </c>
      <c r="D5" s="61" t="inlineStr">
        <is>
          <t>Đăng nhập (màn 1): người dùng nhập email hoặc số điện thoại và mật khẩu; hệ thống xác thực tài khoản, kiểm tra trạng thái và tạo phiên truy cập theo quyền được cấp.</t>
        </is>
      </c>
      <c r="E5" s="61" t="inlineStr">
        <is>
          <t>Tất cả tài khoản</t>
        </is>
      </c>
      <c r="F5" s="60" t="n">
        <v>1</v>
      </c>
      <c r="G5" s="60" t="inlineStr">
        <is>
          <t>Simple</t>
        </is>
      </c>
      <c r="H5" s="60" t="inlineStr">
        <is>
          <t>Nhanh</t>
        </is>
      </c>
      <c r="I5" s="60" t="inlineStr">
        <is>
          <t>Khôi</t>
        </is>
      </c>
      <c r="J5" s="60" t="inlineStr">
        <is>
          <t>Sprint 1</t>
        </is>
      </c>
      <c r="K5" s="61" t="inlineStr">
        <is>
          <t>21/09 → 05/10</t>
        </is>
      </c>
      <c r="L5" s="61" t="inlineStr">
        <is>
          <t>USER, ROLE</t>
        </is>
      </c>
      <c r="M5" s="61" t="inlineStr">
        <is>
          <t>BR-1.9: tài khoản bị khoá không đăng nhập được và phiên/token cũ bị từ chối ở request kế tiếp. Email/SĐT được chuẩn hoá theo BR-1.10; sai thông tin trả thông báo chung, không làm lộ tài khoản. Token hết hạn trả 401; thao tác quan trọng ghi audit theo BR-0.2.</t>
        </is>
      </c>
      <c r="N5" s="62" t="inlineStr">
        <is>
          <t>Done</t>
        </is>
      </c>
      <c r="O5" s="63" t="inlineStr">
        <is>
          <t>sprint-1/be-nhanh, sprint-1/fe-khoi (đã merge main)</t>
        </is>
      </c>
    </row>
    <row r="6" ht="60" customHeight="1" s="47">
      <c r="A6" s="60" t="n">
        <v>2</v>
      </c>
      <c r="B6" s="61" t="inlineStr">
        <is>
          <t>Flow 1 – User &amp; Membership</t>
        </is>
      </c>
      <c r="C6" s="60" t="inlineStr">
        <is>
          <t>UC-UM-11</t>
        </is>
      </c>
      <c r="D6" s="61" t="inlineStr">
        <is>
          <t>Đăng xuất / nạp quyền (màn 2): kết thúc phiên hiện tại và nạp role/permission hiện hành để màn hình/API quyết định thao tác được phép.</t>
        </is>
      </c>
      <c r="E6" s="61" t="inlineStr">
        <is>
          <t>Tất cả tài khoản</t>
        </is>
      </c>
      <c r="F6" s="60" t="n">
        <v>2</v>
      </c>
      <c r="G6" s="60" t="inlineStr">
        <is>
          <t>Simple</t>
        </is>
      </c>
      <c r="H6" s="60" t="inlineStr">
        <is>
          <t>Nhanh</t>
        </is>
      </c>
      <c r="I6" s="60" t="inlineStr">
        <is>
          <t>Khôi</t>
        </is>
      </c>
      <c r="J6" s="60" t="inlineStr">
        <is>
          <t>Sprint 1</t>
        </is>
      </c>
      <c r="K6" s="61" t="inlineStr">
        <is>
          <t>21/09 → 05/10</t>
        </is>
      </c>
      <c r="L6" s="61" t="inlineStr">
        <is>
          <t>USER, ROLE, PERMISSION</t>
        </is>
      </c>
      <c r="M6" s="61" t="inlineStr">
        <is>
          <t>Role/permission phải đọc từ DB hoặc cache theo request, không hard-code trong token. Quyền bị thu hồi có hiệu lực ở request kế tiếp và trả 403; logout phải kết thúc phiên hiện tại, không giữ quyền sau khi đăng xuất.</t>
        </is>
      </c>
      <c r="N6" s="62" t="inlineStr">
        <is>
          <t>Done</t>
        </is>
      </c>
      <c r="O6" s="63" t="inlineStr">
        <is>
          <t>sprint-1/be-nhanh, sprint-1/fe-khoi (đã merge main)</t>
        </is>
      </c>
    </row>
    <row r="7" ht="60" customHeight="1" s="47">
      <c r="A7" s="60" t="n">
        <v>3</v>
      </c>
      <c r="B7" s="61" t="inlineStr">
        <is>
          <t>Flow 1 – User &amp; Membership</t>
        </is>
      </c>
      <c r="C7" s="60" t="inlineStr">
        <is>
          <t>UC-UM-09</t>
        </is>
      </c>
      <c r="D7" s="61" t="inlineStr">
        <is>
          <t>Danh sách tài khoản (màn 8): người có quyền quản trị xem, tìm và lọc tài khoản theo tên, email/SĐT, role và trạng thái ACTIVE/LOCKED.</t>
        </is>
      </c>
      <c r="E7" s="61" t="inlineStr">
        <is>
          <t>Center Manager</t>
        </is>
      </c>
      <c r="F7" s="60" t="n">
        <v>3</v>
      </c>
      <c r="G7" s="60" t="inlineStr">
        <is>
          <t>Simple</t>
        </is>
      </c>
      <c r="H7" s="60" t="inlineStr">
        <is>
          <t>Nhanh</t>
        </is>
      </c>
      <c r="I7" s="60" t="inlineStr">
        <is>
          <t>Khôi</t>
        </is>
      </c>
      <c r="J7" s="60" t="inlineStr">
        <is>
          <t>Sprint 1</t>
        </is>
      </c>
      <c r="K7" s="61" t="inlineStr">
        <is>
          <t>21/09 → 05/10</t>
        </is>
      </c>
      <c r="L7" s="61" t="inlineStr">
        <is>
          <t>USER, ROLE</t>
        </is>
      </c>
      <c r="M7" s="61" t="inlineStr">
        <is>
          <t>Chỉ người có permission user.read/user.manage được xem. Hiển thị tên, email/SĐT đã chuẩn hoá, role và trạng thái ACTIVE/LOCKED; tài khoản đã phát sinh dữ liệu không được xoá cứng, thay đổi quan trọng ghi audit theo BR-0.1/0.2.</t>
        </is>
      </c>
      <c r="N7" s="62" t="inlineStr">
        <is>
          <t>Done</t>
        </is>
      </c>
      <c r="O7" s="63" t="inlineStr">
        <is>
          <t>sprint-1/be-nhanh, sprint-1/fe-khoi (đã merge main)</t>
        </is>
      </c>
    </row>
    <row r="8" ht="73.5" customHeight="1" s="47">
      <c r="A8" s="60" t="n">
        <v>4</v>
      </c>
      <c r="B8" s="61" t="inlineStr">
        <is>
          <t>Flow 1 – User &amp; Membership</t>
        </is>
      </c>
      <c r="C8" s="60" t="inlineStr">
        <is>
          <t>UC-UM-09</t>
        </is>
      </c>
      <c r="D8" s="61" t="inlineStr">
        <is>
          <t>Tạo tài khoản nhân viên (màn 8): Manager nhập thông tin nhân viên, tạo tài khoản và gán role phù hợp để nhân viên có thể đăng nhập và sử dụng chức năng được cấp.</t>
        </is>
      </c>
      <c r="E8" s="61" t="inlineStr">
        <is>
          <t>Center Manager</t>
        </is>
      </c>
      <c r="F8" s="60" t="n">
        <v>4</v>
      </c>
      <c r="G8" s="60" t="inlineStr">
        <is>
          <t>Simple</t>
        </is>
      </c>
      <c r="H8" s="60" t="inlineStr">
        <is>
          <t>Nhanh</t>
        </is>
      </c>
      <c r="I8" s="60" t="inlineStr">
        <is>
          <t>Khôi</t>
        </is>
      </c>
      <c r="J8" s="60" t="inlineStr">
        <is>
          <t>Sprint 1</t>
        </is>
      </c>
      <c r="K8" s="61" t="inlineStr">
        <is>
          <t>21/09 → 05/10</t>
        </is>
      </c>
      <c r="L8" s="61" t="inlineStr">
        <is>
          <t>USER, ROLE, AUDIT_LOG*</t>
        </is>
      </c>
      <c r="M8" s="61" t="inlineStr">
        <is>
          <t>BR-1.1/1.10: email và SĐT duy nhất, email chuẩn hoá, SĐT đúng định dạng Việt Nam. Chỉ Manager tạo tài khoản nhân viên và gán role hợp lệ; tài khoản nhân viên không được tự cấp quyền; dữ liệu đăng nhập phải được xử lý an toàn.</t>
        </is>
      </c>
      <c r="N8" s="62" t="inlineStr">
        <is>
          <t>Done</t>
        </is>
      </c>
      <c r="O8" s="63" t="inlineStr">
        <is>
          <t>sprint-1/be-nhanh, sprint-1/fe-khoi (đã merge main)</t>
        </is>
      </c>
    </row>
    <row r="9" ht="60" customHeight="1" s="47">
      <c r="A9" s="60" t="n">
        <v>5</v>
      </c>
      <c r="B9" s="61" t="inlineStr">
        <is>
          <t>Flow 1 – User &amp; Membership</t>
        </is>
      </c>
      <c r="C9" s="60" t="inlineStr">
        <is>
          <t>UC-UM-09</t>
        </is>
      </c>
      <c r="D9" s="61" t="inlineStr">
        <is>
          <t>Khoá / đổi role tài khoản (màn 8): Manager khoá/mở khoá tài khoản hoặc thay đổi role; hệ thống cập nhật quyền và trạng thái truy cập của tài khoản.</t>
        </is>
      </c>
      <c r="E9" s="61" t="inlineStr">
        <is>
          <t>Center Manager</t>
        </is>
      </c>
      <c r="F9" s="60" t="n">
        <v>5</v>
      </c>
      <c r="G9" s="60" t="inlineStr">
        <is>
          <t>Medium</t>
        </is>
      </c>
      <c r="H9" s="60" t="inlineStr">
        <is>
          <t>Nhanh</t>
        </is>
      </c>
      <c r="I9" s="60" t="inlineStr">
        <is>
          <t>Khôi</t>
        </is>
      </c>
      <c r="J9" s="60" t="inlineStr">
        <is>
          <t>Sprint 1</t>
        </is>
      </c>
      <c r="K9" s="61" t="inlineStr">
        <is>
          <t>21/09 → 05/10</t>
        </is>
      </c>
      <c r="L9" s="61" t="inlineStr">
        <is>
          <t>USER, ROLE, AUDIT_LOG*</t>
        </is>
      </c>
      <c r="M9" s="61" t="inlineStr">
        <is>
          <t>Chỉ Manager có quyền và không được tự khoá/đổi role chính mình. BR-1.9: khoá tài khoản thì request sau bị từ chối; coach đang dạy lớp OPEN phải chuyển lớp trước theo BR-2.13; không xoá cứng và phải ghi audit người thực hiện, thời điểm, thay đổi theo BR-0.1/0.2.</t>
        </is>
      </c>
      <c r="N9" s="62" t="inlineStr">
        <is>
          <t>Done</t>
        </is>
      </c>
      <c r="O9" s="63" t="inlineStr">
        <is>
          <t>sprint-1/be-nhanh, sprint-1/fe-khoi (đã merge main)</t>
        </is>
      </c>
    </row>
    <row r="10" ht="60" customHeight="1" s="47">
      <c r="A10" s="60" t="n">
        <v>6</v>
      </c>
      <c r="B10" s="61" t="inlineStr">
        <is>
          <t>Flow 1 – User &amp; Membership</t>
        </is>
      </c>
      <c r="C10" s="60" t="inlineStr">
        <is>
          <t>UC-UM-18</t>
        </is>
      </c>
      <c r="D10" s="61" t="inlineStr">
        <is>
          <t>Danh sách role và ma trận quyền (màn 8): hiển thị các role, permission thuộc từng role và role mặc định dùng cho đăng ký tài khoản mới.</t>
        </is>
      </c>
      <c r="E10" s="61" t="inlineStr">
        <is>
          <t>Center Manager</t>
        </is>
      </c>
      <c r="F10" s="60" t="n">
        <v>6</v>
      </c>
      <c r="G10" s="60" t="inlineStr">
        <is>
          <t>Simple</t>
        </is>
      </c>
      <c r="H10" s="60" t="inlineStr">
        <is>
          <t>Nhanh</t>
        </is>
      </c>
      <c r="I10" s="60" t="inlineStr">
        <is>
          <t>Khôi</t>
        </is>
      </c>
      <c r="J10" s="60" t="inlineStr">
        <is>
          <t>Sprint 1</t>
        </is>
      </c>
      <c r="K10" s="61" t="inlineStr">
        <is>
          <t>21/09 → 05/10</t>
        </is>
      </c>
      <c r="L10" s="61" t="inlineStr">
        <is>
          <t>ROLE, PERMISSION</t>
        </is>
      </c>
      <c r="M10" s="61" t="inlineStr">
        <is>
          <t>Chỉ Manager hoặc permission role.read được xem ma trận. Ma trận phải phản ánh role/permission đang lưu và role mặc định hiện hành; quyền bị thu hồi có hiệu lực ở request kế tiếp.</t>
        </is>
      </c>
      <c r="N10" s="62" t="inlineStr">
        <is>
          <t>Done</t>
        </is>
      </c>
      <c r="O10" s="63" t="inlineStr">
        <is>
          <t>sprint-1/be-nhanh, sprint-1/fe-khoi (đã merge main)</t>
        </is>
      </c>
    </row>
    <row r="11" ht="60" customHeight="1" s="47">
      <c r="A11" s="60" t="n">
        <v>7</v>
      </c>
      <c r="B11" s="61" t="inlineStr">
        <is>
          <t>Flow 1 – User &amp; Membership</t>
        </is>
      </c>
      <c r="C11" s="60" t="inlineStr">
        <is>
          <t>UC-UM-18</t>
        </is>
      </c>
      <c r="D11" s="61" t="inlineStr">
        <is>
          <t>Tạo / sửa role, gán quyền (màn 8): Manager tạo hoặc cập nhật role, chọn các permission hợp lệ và lưu ma trận quyền áp dụng cho người dùng.</t>
        </is>
      </c>
      <c r="E11" s="61" t="inlineStr">
        <is>
          <t>Center Manager</t>
        </is>
      </c>
      <c r="F11" s="60" t="n">
        <v>7</v>
      </c>
      <c r="G11" s="60" t="inlineStr">
        <is>
          <t>Simple</t>
        </is>
      </c>
      <c r="H11" s="60" t="inlineStr">
        <is>
          <t>Nhanh</t>
        </is>
      </c>
      <c r="I11" s="60" t="inlineStr">
        <is>
          <t>Khôi</t>
        </is>
      </c>
      <c r="J11" s="60" t="inlineStr">
        <is>
          <t>Sprint 1</t>
        </is>
      </c>
      <c r="K11" s="61" t="inlineStr">
        <is>
          <t>21/09 → 05/10</t>
        </is>
      </c>
      <c r="L11" s="61" t="inlineStr">
        <is>
          <t>ROLE, PERMISSION, AUDIT_LOG*</t>
        </is>
      </c>
      <c r="M11" s="61" t="inlineStr">
        <is>
          <t>Mã permission phải thuộc registry, mỗi role có tên duy nhất. Thay đổi có hiệu lực từ request kế tiếp, không cần đăng nhập lại; không cho gán quyền vượt phạm vi người thao tác và ghi audit giá trị cũ/mới theo BR-0.2.</t>
        </is>
      </c>
      <c r="N11" s="62" t="inlineStr">
        <is>
          <t>Done</t>
        </is>
      </c>
      <c r="O11" s="63" t="inlineStr">
        <is>
          <t>sprint-1/be-nhanh, sprint-1/fe-khoi (đã merge main)</t>
        </is>
      </c>
    </row>
    <row r="12" ht="60" customHeight="1" s="47">
      <c r="A12" s="60" t="n">
        <v>8</v>
      </c>
      <c r="B12" s="61" t="inlineStr">
        <is>
          <t>Flow 1 – User &amp; Membership</t>
        </is>
      </c>
      <c r="C12" s="60" t="inlineStr">
        <is>
          <t>UC-UM-18</t>
        </is>
      </c>
      <c r="D12" s="61" t="inlineStr">
        <is>
          <t>Xoá role / đặt mặc định (màn 8): Manager ngừng sử dụng role không còn cần thiết và chọn role mặc định cho tài khoản tự đăng ký.</t>
        </is>
      </c>
      <c r="E12" s="61" t="inlineStr">
        <is>
          <t>Center Manager</t>
        </is>
      </c>
      <c r="F12" s="60" t="n">
        <v>8</v>
      </c>
      <c r="G12" s="60" t="inlineStr">
        <is>
          <t>Medium</t>
        </is>
      </c>
      <c r="H12" s="60" t="inlineStr">
        <is>
          <t>Nhanh</t>
        </is>
      </c>
      <c r="I12" s="60" t="inlineStr">
        <is>
          <t>Khôi</t>
        </is>
      </c>
      <c r="J12" s="60" t="inlineStr">
        <is>
          <t>Sprint 1</t>
        </is>
      </c>
      <c r="K12" s="61" t="inlineStr">
        <is>
          <t>21/09 → 05/10</t>
        </is>
      </c>
      <c r="L12" s="61" t="inlineStr">
        <is>
          <t>ROLE, USER, AUDIT_LOG*</t>
        </is>
      </c>
      <c r="M12" s="61" t="inlineStr">
        <is>
          <t>Role hệ thống hoặc role đang được user tham chiếu không được xoá cứng; dùng ngừng hoạt động theo BR-0.1. Hệ thống phải duy trì đúng một role mặc định cho đăng ký tự do theo BR-1.8 và audit thay đổi.</t>
        </is>
      </c>
      <c r="N12" s="62" t="inlineStr">
        <is>
          <t>Done</t>
        </is>
      </c>
      <c r="O12" s="63" t="inlineStr">
        <is>
          <t>sprint-1/be-nhanh, sprint-1/fe-khoi (đã merge main)</t>
        </is>
      </c>
    </row>
    <row r="13" ht="60" customHeight="1" s="47">
      <c r="A13" s="60" t="n">
        <v>9</v>
      </c>
      <c r="B13" s="61" t="inlineStr">
        <is>
          <t>Flow 1 – User &amp; Membership</t>
        </is>
      </c>
      <c r="C13" s="60" t="inlineStr">
        <is>
          <t>UC-UM-01</t>
        </is>
      </c>
      <c r="D13" s="61" t="inlineStr">
        <is>
          <t>Đăng ký tài khoản (màn 1): người dùng nhập thông tin định danh và mật khẩu; hệ thống tạo tài khoản Member, gán role mặc định và báo kết quả đăng ký.</t>
        </is>
      </c>
      <c r="E13" s="61" t="inlineStr">
        <is>
          <t>Member (khách)</t>
        </is>
      </c>
      <c r="F13" s="60" t="n">
        <v>9</v>
      </c>
      <c r="G13" s="60" t="inlineStr">
        <is>
          <t>Simple</t>
        </is>
      </c>
      <c r="H13" s="60" t="inlineStr">
        <is>
          <t>Nhanh</t>
        </is>
      </c>
      <c r="I13" s="60" t="inlineStr">
        <is>
          <t>Khôi</t>
        </is>
      </c>
      <c r="J13" s="60" t="inlineStr">
        <is>
          <t>Sprint 1</t>
        </is>
      </c>
      <c r="K13" s="61" t="inlineStr">
        <is>
          <t>21/09 → 05/10</t>
        </is>
      </c>
      <c r="L13" s="61" t="inlineStr">
        <is>
          <t>USER, ROLE</t>
        </is>
      </c>
      <c r="M13" s="61" t="inlineStr">
        <is>
          <t>BR-1.1/1.10: email/SĐT duy nhất và chuẩn hoá; mật khẩu tối thiểu 8 ký tự, lưu dạng mã hoá theo BR-1.7. Người đăng ký không chọn role; hệ thống gán role mặc định trong DB theo BR-1.8; dữ liệu trùng phải báo rõ.</t>
        </is>
      </c>
      <c r="N13" s="62" t="inlineStr">
        <is>
          <t>Done</t>
        </is>
      </c>
      <c r="O13" s="63" t="inlineStr">
        <is>
          <t>sprint-1/be-nhanh, sprint-1/fe-khoi (đã merge main)</t>
        </is>
      </c>
    </row>
    <row r="14" ht="60" customHeight="1" s="47">
      <c r="A14" s="60" t="n">
        <v>10</v>
      </c>
      <c r="B14" s="61" t="inlineStr">
        <is>
          <t>Flow 1 – User &amp; Membership</t>
        </is>
      </c>
      <c r="C14" s="60" t="inlineStr">
        <is>
          <t>UC-UM-13</t>
        </is>
      </c>
      <c r="D14" s="61" t="inlineStr">
        <is>
          <t>Đổi mật khẩu (màn S20): người dùng nhập mật khẩu hiện tại và mật khẩu mới; hệ thống kiểm tra mật khẩu cũ rồi cập nhật mật khẩu mới an toàn.</t>
        </is>
      </c>
      <c r="E14" s="61" t="inlineStr">
        <is>
          <t>Tất cả tài khoản</t>
        </is>
      </c>
      <c r="F14" s="60" t="n">
        <v>10</v>
      </c>
      <c r="G14" s="60" t="inlineStr">
        <is>
          <t>Medium</t>
        </is>
      </c>
      <c r="H14" s="60" t="inlineStr">
        <is>
          <t>Nhanh</t>
        </is>
      </c>
      <c r="I14" s="60" t="inlineStr">
        <is>
          <t>Khôi</t>
        </is>
      </c>
      <c r="J14" s="60" t="inlineStr">
        <is>
          <t>Sprint 1</t>
        </is>
      </c>
      <c r="K14" s="61" t="inlineStr">
        <is>
          <t>21/09 → 05/10</t>
        </is>
      </c>
      <c r="L14" s="61" t="inlineStr">
        <is>
          <t>USER, AUDIT_LOG*</t>
        </is>
      </c>
      <c r="M14" s="61" t="inlineStr">
        <is>
          <t>Phải nhập đúng mật khẩu cũ; mật khẩu mới tối thiểu 8 ký tự và được mã hoá theo BR-1.7. Không ghi mật khẩu vào log; phiên/token cũ được xử lý theo chính sách bảo mật và thao tác đổi mật khẩu được audit.</t>
        </is>
      </c>
      <c r="N14" s="62" t="inlineStr">
        <is>
          <t>Done</t>
        </is>
      </c>
      <c r="O14" s="63" t="inlineStr">
        <is>
          <t>sprint-1/be-nhanh, sprint-1/fe-khoi (đã merge main)</t>
        </is>
      </c>
    </row>
    <row r="15" ht="60" customHeight="1" s="47">
      <c r="A15" s="60" t="n">
        <v>11</v>
      </c>
      <c r="B15" s="61" t="inlineStr">
        <is>
          <t>Flow 1 – User &amp; Membership</t>
        </is>
      </c>
      <c r="C15" s="60" t="inlineStr">
        <is>
          <t>UC-UM-02</t>
        </is>
      </c>
      <c r="D15" s="61" t="inlineStr">
        <is>
          <t>Xem hồ sơ cá nhân (màn 3): người dùng xem thông tin liên hệ, trạng thái tài khoản và membership của chính tài khoản đang đăng nhập.</t>
        </is>
      </c>
      <c r="E15" s="61" t="inlineStr">
        <is>
          <t>Tất cả tài khoản</t>
        </is>
      </c>
      <c r="F15" s="60" t="n">
        <v>11</v>
      </c>
      <c r="G15" s="60" t="inlineStr">
        <is>
          <t>Simple</t>
        </is>
      </c>
      <c r="H15" s="60" t="inlineStr">
        <is>
          <t>Nhanh</t>
        </is>
      </c>
      <c r="I15" s="60" t="inlineStr">
        <is>
          <t>Khôi</t>
        </is>
      </c>
      <c r="J15" s="60" t="inlineStr">
        <is>
          <t>Sprint 1</t>
        </is>
      </c>
      <c r="K15" s="61" t="inlineStr">
        <is>
          <t>21/09 → 05/10</t>
        </is>
      </c>
      <c r="L15" s="61" t="inlineStr">
        <is>
          <t>USER, MEMBERSHIP</t>
        </is>
      </c>
      <c r="M15" s="61" t="inlineStr">
        <is>
          <t>Chỉ trả hồ sơ của tài khoản đang đăng nhập: thông tin liên hệ, trạng thái và membership của chính người đó. Khi chỉ có read_own thì không được đọc hồ sơ khác; dữ liệu nhạy cảm phải tuân thủ permission.</t>
        </is>
      </c>
      <c r="N15" s="62" t="inlineStr">
        <is>
          <t>Done</t>
        </is>
      </c>
      <c r="O15" s="63" t="inlineStr">
        <is>
          <t>sprint-1/be-nhanh, sprint-1/fe-khoi (đã merge main)</t>
        </is>
      </c>
    </row>
    <row r="16" ht="60" customHeight="1" s="47">
      <c r="A16" s="60" t="n">
        <v>12</v>
      </c>
      <c r="B16" s="61" t="inlineStr">
        <is>
          <t>Flow 1 – User &amp; Membership</t>
        </is>
      </c>
      <c r="C16" s="60" t="inlineStr">
        <is>
          <t>UC-UM-02</t>
        </is>
      </c>
      <c r="D16" s="61" t="inlineStr">
        <is>
          <t>Cập nhật hồ sơ cá nhân (màn S20): người dùng sửa các trường hồ sơ được phép như tên, email hoặc số điện thoại; hệ thống kiểm tra dữ liệu trước khi lưu.</t>
        </is>
      </c>
      <c r="E16" s="61" t="inlineStr">
        <is>
          <t>Tất cả tài khoản</t>
        </is>
      </c>
      <c r="F16" s="60" t="n">
        <v>12</v>
      </c>
      <c r="G16" s="60" t="inlineStr">
        <is>
          <t>Simple</t>
        </is>
      </c>
      <c r="H16" s="60" t="inlineStr">
        <is>
          <t>Nhanh</t>
        </is>
      </c>
      <c r="I16" s="60" t="inlineStr">
        <is>
          <t>Khôi</t>
        </is>
      </c>
      <c r="J16" s="60" t="inlineStr">
        <is>
          <t>Sprint 1</t>
        </is>
      </c>
      <c r="K16" s="61" t="inlineStr">
        <is>
          <t>21/09 → 05/10</t>
        </is>
      </c>
      <c r="L16" s="61" t="inlineStr">
        <is>
          <t>USER, AUDIT_LOG*</t>
        </is>
      </c>
      <c r="M16" s="61" t="inlineStr">
        <is>
          <t>Chỉ sửa các trường hồ sơ được phép, không tự đổi role hoặc trạng thái tài khoản. Email/SĐT mới phải chuẩn hoá và không trùng theo BR-1.1/1.10; lưu người sửa, thời điểm và giá trị cũ/mới theo BR-0.2.</t>
        </is>
      </c>
      <c r="N16" s="62" t="inlineStr">
        <is>
          <t>Done</t>
        </is>
      </c>
      <c r="O16" s="63" t="inlineStr">
        <is>
          <t>sprint-1/be-nhanh, sprint-1/fe-khoi (đã merge main)</t>
        </is>
      </c>
    </row>
    <row r="17" ht="60" customHeight="1" s="47">
      <c r="A17" s="60" t="n">
        <v>13</v>
      </c>
      <c r="B17" s="61" t="inlineStr">
        <is>
          <t>Flow 1 – User &amp; Membership</t>
        </is>
      </c>
      <c r="C17" s="60" t="inlineStr">
        <is>
          <t>UC-UM-03</t>
        </is>
      </c>
      <c r="D17" s="61" t="inlineStr">
        <is>
          <t>Xem gói đang bán và gói hiện tại (màn 4): hiển thị các gói còn được bán và membership hiện tại cùng trạng thái, ngày hiệu lực, ngày hết hạn và quyền lợi.</t>
        </is>
      </c>
      <c r="E17" s="61" t="inlineStr">
        <is>
          <t>Member</t>
        </is>
      </c>
      <c r="F17" s="60" t="n">
        <v>13</v>
      </c>
      <c r="G17" s="60" t="inlineStr">
        <is>
          <t>Simple</t>
        </is>
      </c>
      <c r="H17" s="60" t="inlineStr">
        <is>
          <t>Bảo</t>
        </is>
      </c>
      <c r="I17" s="60" t="inlineStr">
        <is>
          <t>Khải</t>
        </is>
      </c>
      <c r="J17" s="60" t="inlineStr">
        <is>
          <t>Sprint 1</t>
        </is>
      </c>
      <c r="K17" s="61" t="inlineStr">
        <is>
          <t>21/09 → 05/10</t>
        </is>
      </c>
      <c r="L17" s="61" t="inlineStr">
        <is>
          <t>MEMBERSHIP_PLAN, MEMBERSHIP</t>
        </is>
      </c>
      <c r="M17" s="61" t="inlineStr">
        <is>
          <t>Chỉ gói ở trạng thái SELLING được chọn cho giao dịch mới theo BR-1.6. Một hội viên chỉ có đúng một membership đang hiệu lực tại một thời điểm theo BR-1.2; màn hình phải hiển thị rõ trạng thái và ngày hiệu lực.</t>
        </is>
      </c>
      <c r="N17" s="62" t="inlineStr">
        <is>
          <t>Done</t>
        </is>
      </c>
      <c r="O17" s="63" t="inlineStr">
        <is>
          <t>sprint-1/be-bao, sprint-1/fe-khai (đã merge main)</t>
        </is>
      </c>
    </row>
    <row r="18" ht="60" customHeight="1" s="47">
      <c r="A18" s="60" t="n">
        <v>14</v>
      </c>
      <c r="B18" s="61" t="inlineStr">
        <is>
          <t>Flow 1 – User &amp; Membership</t>
        </is>
      </c>
      <c r="C18" s="60" t="inlineStr">
        <is>
          <t>UC-UM-05</t>
        </is>
      </c>
      <c r="D18" s="61" t="inlineStr">
        <is>
          <t>Đăng ký hội viên tại quầy (màn 5): lễ tân nhập thông tin khách và tạo hồ sơ hội viên trực tiếp; email có thể bỏ trống nếu dùng số điện thoại làm định danh.</t>
        </is>
      </c>
      <c r="E18" s="61" t="inlineStr">
        <is>
          <t>Receptionist</t>
        </is>
      </c>
      <c r="F18" s="60" t="n">
        <v>14</v>
      </c>
      <c r="G18" s="60" t="inlineStr">
        <is>
          <t>Simple</t>
        </is>
      </c>
      <c r="H18" s="60" t="inlineStr">
        <is>
          <t>Bảo</t>
        </is>
      </c>
      <c r="I18" s="60" t="inlineStr">
        <is>
          <t>Khải</t>
        </is>
      </c>
      <c r="J18" s="60" t="inlineStr">
        <is>
          <t>Sprint 1</t>
        </is>
      </c>
      <c r="K18" s="61" t="inlineStr">
        <is>
          <t>21/09 → 05/10</t>
        </is>
      </c>
      <c r="L18" s="61" t="inlineStr">
        <is>
          <t>USER, ROLE</t>
        </is>
      </c>
      <c r="M18" s="61" t="inlineStr">
        <is>
          <t>Áp dụng BR-1.1/1.10 cho dữ liệu nhập và BR-1.8 cho role mặc định; email có thể bỏ trống nếu chỉ dùng SĐT. Người thao tác phải có member.create; không tạo hồ sơ trùng hoặc tự cấp role.</t>
        </is>
      </c>
      <c r="N18" s="62" t="inlineStr">
        <is>
          <t>Done</t>
        </is>
      </c>
      <c r="O18" s="63" t="inlineStr">
        <is>
          <t>sprint-1/be-bao, sprint-1/fe-khai (đã merge main)</t>
        </is>
      </c>
    </row>
    <row r="19" ht="60" customHeight="1" s="47">
      <c r="A19" s="60" t="n">
        <v>15</v>
      </c>
      <c r="B19" s="61" t="inlineStr">
        <is>
          <t>Flow 1 – User &amp; Membership</t>
        </is>
      </c>
      <c r="C19" s="60" t="inlineStr">
        <is>
          <t>UC-UM-06</t>
        </is>
      </c>
      <c r="D19" s="61" t="inlineStr">
        <is>
          <t>Tìm kiếm hội viên (màn 6): nhân viên tìm hội viên theo tên, email hoặc số điện thoại và xem nhanh trạng thái tài khoản cùng gói hiện tại.</t>
        </is>
      </c>
      <c r="E19" s="61" t="inlineStr">
        <is>
          <t>Receptionist / Center Manager</t>
        </is>
      </c>
      <c r="F19" s="60" t="n">
        <v>15</v>
      </c>
      <c r="G19" s="60" t="inlineStr">
        <is>
          <t>Simple</t>
        </is>
      </c>
      <c r="H19" s="60" t="inlineStr">
        <is>
          <t>Bảo</t>
        </is>
      </c>
      <c r="I19" s="60" t="inlineStr">
        <is>
          <t>Khải</t>
        </is>
      </c>
      <c r="J19" s="60" t="inlineStr">
        <is>
          <t>Sprint 1</t>
        </is>
      </c>
      <c r="K19" s="61" t="inlineStr">
        <is>
          <t>21/09 → 05/10</t>
        </is>
      </c>
      <c r="L19" s="61" t="inlineStr">
        <is>
          <t>USER, MEMBERSHIP</t>
        </is>
      </c>
      <c r="M19" s="61" t="inlineStr">
        <is>
          <t>Tìm theo tên, email hoặc SĐT đã chuẩn hoá; kết quả kèm trạng thái tài khoản và gói hiện tại/hết hạn. Chỉ trả dữ liệu trong phạm vi permission, không cho dùng tìm kiếm để xem hồ sơ ngoài quyền.</t>
        </is>
      </c>
      <c r="N19" s="62" t="inlineStr">
        <is>
          <t>Done</t>
        </is>
      </c>
      <c r="O19" s="63" t="inlineStr">
        <is>
          <t>sprint-1/be-bao, sprint-1/fe-khai (đã merge main)</t>
        </is>
      </c>
    </row>
    <row r="20" ht="60" customHeight="1" s="47">
      <c r="A20" s="60" t="n">
        <v>16</v>
      </c>
      <c r="B20" s="61" t="inlineStr">
        <is>
          <t>Flow 1 – User &amp; Membership</t>
        </is>
      </c>
      <c r="C20" s="60" t="inlineStr">
        <is>
          <t>UC-UM-14</t>
        </is>
      </c>
      <c r="D20" s="61" t="inlineStr">
        <is>
          <t>Xem chi tiết hội viên (màn S22): Manager mở hồ sơ để xem thông tin định danh, trạng thái, membership và dữ liệu giao dịch/lịch sử được cấp quyền.</t>
        </is>
      </c>
      <c r="E20" s="61" t="inlineStr">
        <is>
          <t>Receptionist / Center Manager</t>
        </is>
      </c>
      <c r="F20" s="60" t="n">
        <v>16</v>
      </c>
      <c r="G20" s="60" t="inlineStr">
        <is>
          <t>Simple</t>
        </is>
      </c>
      <c r="H20" s="60" t="inlineStr">
        <is>
          <t>Bảo</t>
        </is>
      </c>
      <c r="I20" s="60" t="inlineStr">
        <is>
          <t>Khải</t>
        </is>
      </c>
      <c r="J20" s="60" t="inlineStr">
        <is>
          <t>Sprint 1</t>
        </is>
      </c>
      <c r="K20" s="61" t="inlineStr">
        <is>
          <t>21/09 → 05/10</t>
        </is>
      </c>
      <c r="L20" s="61" t="inlineStr">
        <is>
          <t>USER, MEMBERSHIP, INVOICE</t>
        </is>
      </c>
      <c r="M20" s="61" t="inlineStr">
        <is>
          <t>Hiển thị thông tin hội viên được phép gồm định danh, trạng thái, membership và lịch sử liên quan. Lễ tân/Manager chỉ xem theo permission; dữ liệu lịch sử vẫn giữ khi gói ngừng bán hoặc tài khoản bị khoá.</t>
        </is>
      </c>
      <c r="N20" s="62" t="inlineStr">
        <is>
          <t>Done</t>
        </is>
      </c>
      <c r="O20" s="63" t="inlineStr">
        <is>
          <t>sprint-1/be-bao, sprint-1/fe-khai (đã merge main)</t>
        </is>
      </c>
    </row>
    <row r="21" ht="60" customHeight="1" s="47">
      <c r="A21" s="60" t="n">
        <v>17</v>
      </c>
      <c r="B21" s="61" t="inlineStr">
        <is>
          <t>Flow 1 – User &amp; Membership</t>
        </is>
      </c>
      <c r="C21" s="60" t="inlineStr">
        <is>
          <t>UC-UM-19</t>
        </is>
      </c>
      <c r="D21" s="61" t="inlineStr">
        <is>
          <t>Nhân viên cập nhật hồ sơ hội viên (màn S22): nhân viên có quyền sửa thông tin hội viên; hệ thống kiểm tra trùng dữ liệu và lưu lại người sửa cùng thời điểm.</t>
        </is>
      </c>
      <c r="E21" s="61" t="inlineStr">
        <is>
          <t>Receptionist / Center Manager</t>
        </is>
      </c>
      <c r="F21" s="60" t="n">
        <v>17</v>
      </c>
      <c r="G21" s="60" t="inlineStr">
        <is>
          <t>Simple</t>
        </is>
      </c>
      <c r="H21" s="60" t="inlineStr">
        <is>
          <t>Bảo</t>
        </is>
      </c>
      <c r="I21" s="60" t="inlineStr">
        <is>
          <t>Khải</t>
        </is>
      </c>
      <c r="J21" s="60" t="inlineStr">
        <is>
          <t>Sprint 1</t>
        </is>
      </c>
      <c r="K21" s="61" t="inlineStr">
        <is>
          <t>21/09 → 05/10</t>
        </is>
      </c>
      <c r="L21" s="61" t="inlineStr">
        <is>
          <t>USER, AUDIT_LOG*</t>
        </is>
      </c>
      <c r="M21" s="61" t="inlineStr">
        <is>
          <t>Kiểm tra email/SĐT duy nhất và chuẩn hoá trước khi lưu theo BR-1.1/1.10; không đổi role qua màn này. Ghi người sửa, thời điểm và giá trị cũ/mới theo BR-0.2.</t>
        </is>
      </c>
      <c r="N21" s="62" t="inlineStr">
        <is>
          <t>Done</t>
        </is>
      </c>
      <c r="O21" s="63" t="inlineStr">
        <is>
          <t>sprint-1/be-bao, sprint-1/fe-khai (đã merge main)</t>
        </is>
      </c>
    </row>
    <row r="22" ht="60" customHeight="1" s="47">
      <c r="A22" s="60" t="n">
        <v>18</v>
      </c>
      <c r="B22" s="61" t="inlineStr">
        <is>
          <t>Flow 1 – User &amp; Membership</t>
        </is>
      </c>
      <c r="C22" s="60" t="inlineStr">
        <is>
          <t>UC-UM-07</t>
        </is>
      </c>
      <c r="D22" s="61" t="inlineStr">
        <is>
          <t>Mua / gia hạn hộ tại quầy (màn 16): nhân viên chọn gói đang bán, ghi nhận giao dịch tại quầy và tính lại ngày hiệu lực cho membership của hội viên.</t>
        </is>
      </c>
      <c r="E22" s="61" t="inlineStr">
        <is>
          <t>Receptionist</t>
        </is>
      </c>
      <c r="F22" s="60" t="n">
        <v>18</v>
      </c>
      <c r="G22" s="60" t="inlineStr">
        <is>
          <t>Medium</t>
        </is>
      </c>
      <c r="H22" s="60" t="inlineStr">
        <is>
          <t>Bảo</t>
        </is>
      </c>
      <c r="I22" s="60" t="inlineStr">
        <is>
          <t>Khải</t>
        </is>
      </c>
      <c r="J22" s="60" t="inlineStr">
        <is>
          <t>Sprint 1</t>
        </is>
      </c>
      <c r="K22" s="61" t="inlineStr">
        <is>
          <t>21/09 → 05/10</t>
        </is>
      </c>
      <c r="L22" s="61" t="inlineStr">
        <is>
          <t>MEMBERSHIP_PLAN, MEMBERSHIP, INVOICE</t>
        </is>
      </c>
      <c r="M22" s="61" t="inlineStr">
        <is>
          <t>Chỉ chọn gói đang bán. Nếu gói còn hạn, ngày hết hạn mới = ngày hết hạn cũ + thời hạn gói theo BR-1.3; nếu đã hết hạn, ngày bắt đầu = ngày thanh toán theo BR-1.4. Hoá đơn PENDING cùng gói phải được xử lý theo BR-1.13, không tạo membership trùng.</t>
        </is>
      </c>
      <c r="N22" s="62" t="inlineStr">
        <is>
          <t>Done</t>
        </is>
      </c>
      <c r="O22" s="63" t="inlineStr">
        <is>
          <t>sprint-1/be-bao, sprint-1/fe-khai (đã merge main)</t>
        </is>
      </c>
    </row>
    <row r="23" ht="60" customHeight="1" s="47">
      <c r="A23" s="60" t="n">
        <v>19</v>
      </c>
      <c r="B23" s="61" t="inlineStr">
        <is>
          <t>Flow 1 – User &amp; Membership</t>
        </is>
      </c>
      <c r="C23" s="60" t="inlineStr">
        <is>
          <t>UC-UM-08</t>
        </is>
      </c>
      <c r="D23" s="61" t="inlineStr">
        <is>
          <t>Danh sách gói tập (màn 7): Manager xem các gói, giá, thời hạn và trạng thái đang bán/ngừng bán để quản lý danh mục sản phẩm.</t>
        </is>
      </c>
      <c r="E23" s="61" t="inlineStr">
        <is>
          <t>Center Manager</t>
        </is>
      </c>
      <c r="F23" s="60" t="n">
        <v>19</v>
      </c>
      <c r="G23" s="60" t="inlineStr">
        <is>
          <t>Simple</t>
        </is>
      </c>
      <c r="H23" s="60" t="inlineStr">
        <is>
          <t>Bảo</t>
        </is>
      </c>
      <c r="I23" s="60" t="inlineStr">
        <is>
          <t>Khải</t>
        </is>
      </c>
      <c r="J23" s="60" t="inlineStr">
        <is>
          <t>Sprint 1</t>
        </is>
      </c>
      <c r="K23" s="61" t="inlineStr">
        <is>
          <t>21/09 → 05/10</t>
        </is>
      </c>
      <c r="L23" s="61" t="inlineStr">
        <is>
          <t>MEMBERSHIP_PLAN</t>
        </is>
      </c>
      <c r="M23" s="61" t="inlineStr">
        <is>
          <t>Màn quản trị hiển thị giá, thời hạn, trạng thái SELLING/STOPPED và dữ liệu liên quan. Gói STOPPED không được chọn cho giao dịch mới nhưng vẫn phải xem được trong membership/hoá đơn lịch sử theo BR-1.6.</t>
        </is>
      </c>
      <c r="N23" s="62" t="inlineStr">
        <is>
          <t>Done</t>
        </is>
      </c>
      <c r="O23" s="63" t="inlineStr">
        <is>
          <t>sprint-1/be-bao, sprint-1/fe-khai (đã merge main)</t>
        </is>
      </c>
    </row>
    <row r="24" ht="60" customHeight="1" s="47">
      <c r="A24" s="60" t="n">
        <v>20</v>
      </c>
      <c r="B24" s="61" t="inlineStr">
        <is>
          <t>Flow 1 – User &amp; Membership</t>
        </is>
      </c>
      <c r="C24" s="60" t="inlineStr">
        <is>
          <t>UC-UM-08</t>
        </is>
      </c>
      <c r="D24" s="61" t="inlineStr">
        <is>
          <t>Tạo / sửa gói tập (màn 7): Manager nhập hoặc cập nhật tên gói, giá, thời hạn và điều kiện áp dụng; hệ thống kiểm tra dữ liệu trước khi lưu.</t>
        </is>
      </c>
      <c r="E24" s="61" t="inlineStr">
        <is>
          <t>Center Manager</t>
        </is>
      </c>
      <c r="F24" s="60" t="n">
        <v>20</v>
      </c>
      <c r="G24" s="60" t="inlineStr">
        <is>
          <t>Simple</t>
        </is>
      </c>
      <c r="H24" s="60" t="inlineStr">
        <is>
          <t>Bảo</t>
        </is>
      </c>
      <c r="I24" s="60" t="inlineStr">
        <is>
          <t>Khải</t>
        </is>
      </c>
      <c r="J24" s="60" t="inlineStr">
        <is>
          <t>Sprint 1</t>
        </is>
      </c>
      <c r="K24" s="61" t="inlineStr">
        <is>
          <t>21/09 → 05/10</t>
        </is>
      </c>
      <c r="L24" s="61" t="inlineStr">
        <is>
          <t>MEMBERSHIP_PLAN, AUDIT_LOG*</t>
        </is>
      </c>
      <c r="M24" s="61" t="inlineStr">
        <is>
          <t>Giá và thời hạn phải lớn hơn 0, tên gói không trùng. Giá trị mới áp dụng cho giao dịch mới, không sửa số tiền của hoá đơn cũ; thay đổi quan trọng ghi audit theo BR-0.2.</t>
        </is>
      </c>
      <c r="N24" s="62" t="inlineStr">
        <is>
          <t>Done</t>
        </is>
      </c>
      <c r="O24" s="63" t="inlineStr">
        <is>
          <t>sprint-1/be-bao, sprint-1/fe-khai (đã merge main)</t>
        </is>
      </c>
    </row>
    <row r="25" ht="60" customHeight="1" s="47">
      <c r="A25" s="60" t="n">
        <v>21</v>
      </c>
      <c r="B25" s="61" t="inlineStr">
        <is>
          <t>Flow 1 – User &amp; Membership</t>
        </is>
      </c>
      <c r="C25" s="60" t="inlineStr">
        <is>
          <t>UC-UM-08</t>
        </is>
      </c>
      <c r="D25" s="61" t="inlineStr">
        <is>
          <t>Ngừng bán / xoá gói (màn 7): Manager dừng cung cấp gói hoặc xoá gói chưa phát sinh tham chiếu; gói đã bán được giữ lại để tra cứu lịch sử.</t>
        </is>
      </c>
      <c r="E25" s="61" t="inlineStr">
        <is>
          <t>Center Manager</t>
        </is>
      </c>
      <c r="F25" s="60" t="n">
        <v>21</v>
      </c>
      <c r="G25" s="60" t="inlineStr">
        <is>
          <t>Medium</t>
        </is>
      </c>
      <c r="H25" s="60" t="inlineStr">
        <is>
          <t>Bảo</t>
        </is>
      </c>
      <c r="I25" s="60" t="inlineStr">
        <is>
          <t>Khải</t>
        </is>
      </c>
      <c r="J25" s="60" t="inlineStr">
        <is>
          <t>Sprint 1</t>
        </is>
      </c>
      <c r="K25" s="61" t="inlineStr">
        <is>
          <t>21/09 → 05/10</t>
        </is>
      </c>
      <c r="L25" s="61" t="inlineStr">
        <is>
          <t>MEMBERSHIP_PLAN, MEMBERSHIP</t>
        </is>
      </c>
      <c r="M25" s="61" t="inlineStr">
        <is>
          <t>Gói chưa được tham chiếu mới có thể xoá cứng; gói đã bán chỉ chuyển STOPPED theo BR-0.1. Gói STOPPED không bán mới nhưng vẫn xuất hiện trong lịch sử theo BR-1.6.</t>
        </is>
      </c>
      <c r="N25" s="62" t="inlineStr">
        <is>
          <t>Done</t>
        </is>
      </c>
      <c r="O25" s="63" t="inlineStr">
        <is>
          <t>sprint-1/be-bao, sprint-1/fe-khai (đã merge main)</t>
        </is>
      </c>
    </row>
    <row r="26" ht="60" customHeight="1" s="47">
      <c r="A26" s="60" t="n">
        <v>22</v>
      </c>
      <c r="B26" s="61" t="inlineStr">
        <is>
          <t>Flow 1 – User &amp; Membership</t>
        </is>
      </c>
      <c r="C26" s="60" t="inlineStr">
        <is>
          <t>UC-UM-16</t>
        </is>
      </c>
      <c r="D26" s="61" t="inlineStr">
        <is>
          <t>Xem cấu hình hệ thống (màn S27): hiển thị các tham số vận hành như số giờ huỷ lớp, timeout thanh toán, số ngày nhắc gia hạn và giới hạn AI.</t>
        </is>
      </c>
      <c r="E26" s="61" t="inlineStr">
        <is>
          <t>Center Manager</t>
        </is>
      </c>
      <c r="F26" s="60" t="n">
        <v>22</v>
      </c>
      <c r="G26" s="60" t="inlineStr">
        <is>
          <t>Simple</t>
        </is>
      </c>
      <c r="H26" s="60" t="inlineStr">
        <is>
          <t>Nhanh</t>
        </is>
      </c>
      <c r="I26" s="60" t="inlineStr">
        <is>
          <t>Khôi</t>
        </is>
      </c>
      <c r="J26" s="60" t="inlineStr">
        <is>
          <t>Sprint 1</t>
        </is>
      </c>
      <c r="K26" s="61" t="inlineStr">
        <is>
          <t>21/09 → 05/10</t>
        </is>
      </c>
      <c r="L26" s="61" t="inlineStr">
        <is>
          <t>SYSTEM_SETTING*</t>
        </is>
      </c>
      <c r="M26" s="61" t="inlineStr">
        <is>
          <t>Chỉ người có system_setting.read được xem. Các tham số như số giờ huỷ lớp, timeout thanh toán, số ngày nhắc gia hạn, tiền tố hoá đơn và giới hạn AI phải hiển thị kèm đơn vị; mốc thời gian dùng múi giờ Việt Nam theo BR-0.3.</t>
        </is>
      </c>
      <c r="N26" s="62" t="inlineStr">
        <is>
          <t>Done</t>
        </is>
      </c>
      <c r="O26" s="63" t="inlineStr">
        <is>
          <t>sprint-1/be-nhanh, sprint-1/fe-khoi (đã merge main)</t>
        </is>
      </c>
    </row>
    <row r="27" ht="73.5" customHeight="1" s="47">
      <c r="A27" s="60" t="n">
        <v>23</v>
      </c>
      <c r="B27" s="61" t="inlineStr">
        <is>
          <t>Flow 1 – User &amp; Membership</t>
        </is>
      </c>
      <c r="C27" s="60" t="inlineStr">
        <is>
          <t>UC-UM-16</t>
        </is>
      </c>
      <c r="D27" s="61" t="inlineStr">
        <is>
          <t>Sửa cấu hình hệ thống (màn S27): Manager cập nhật giá trị cấu hình theo đúng kiểu, đơn vị và miền giá trị; giá trị hợp lệ được áp dụng cho các job/nghiệp vụ.</t>
        </is>
      </c>
      <c r="E27" s="61" t="inlineStr">
        <is>
          <t>Center Manager</t>
        </is>
      </c>
      <c r="F27" s="60" t="n">
        <v>23</v>
      </c>
      <c r="G27" s="60" t="inlineStr">
        <is>
          <t>Simple</t>
        </is>
      </c>
      <c r="H27" s="60" t="inlineStr">
        <is>
          <t>Nhanh</t>
        </is>
      </c>
      <c r="I27" s="60" t="inlineStr">
        <is>
          <t>Khôi</t>
        </is>
      </c>
      <c r="J27" s="60" t="inlineStr">
        <is>
          <t>Sprint 1</t>
        </is>
      </c>
      <c r="K27" s="61" t="inlineStr">
        <is>
          <t>21/09 → 05/10</t>
        </is>
      </c>
      <c r="L27" s="61" t="inlineStr">
        <is>
          <t>SYSTEM_SETTING*, AUDIT_LOG*</t>
        </is>
      </c>
      <c r="M27" s="61" t="inlineStr">
        <is>
          <t>Giá trị phải đúng kiểu, đơn vị và miền cho phép; không hard-code theo BR-0.4. Giá trị mới áp dụng theo chính sách, cấu hình sai bị từ chối; ghi audit giá trị cũ, giá trị mới, người sửa và thời điểm theo BR-0.2.</t>
        </is>
      </c>
      <c r="N27" s="62" t="inlineStr">
        <is>
          <t>Done</t>
        </is>
      </c>
      <c r="O27" s="63" t="inlineStr">
        <is>
          <t>sprint-1/be-nhanh, sprint-1/fe-khoi (đã merge main)</t>
        </is>
      </c>
    </row>
    <row r="28" ht="60" customHeight="1" s="47">
      <c r="A28" s="60" t="n">
        <v>24</v>
      </c>
      <c r="B28" s="61" t="inlineStr">
        <is>
          <t>Flow 1 – User &amp; Membership</t>
        </is>
      </c>
      <c r="C28" s="60" t="inlineStr">
        <is>
          <t>UC-UM-17</t>
        </is>
      </c>
      <c r="D28" s="61" t="inlineStr">
        <is>
          <t>Danh sách thông báo (màn S21): người dùng xem các thông báo của chính mình, gồm nội dung, loại sự kiện, thời điểm và trạng thái đã đọc/chưa đọc.</t>
        </is>
      </c>
      <c r="E28" s="61" t="inlineStr">
        <is>
          <t>Tất cả tài khoản</t>
        </is>
      </c>
      <c r="F28" s="60" t="n">
        <v>24</v>
      </c>
      <c r="G28" s="60" t="inlineStr">
        <is>
          <t>Simple</t>
        </is>
      </c>
      <c r="H28" s="60" t="inlineStr">
        <is>
          <t>Nhanh</t>
        </is>
      </c>
      <c r="I28" s="60" t="inlineStr">
        <is>
          <t>Khôi</t>
        </is>
      </c>
      <c r="J28" s="60" t="inlineStr">
        <is>
          <t>Sprint 1</t>
        </is>
      </c>
      <c r="K28" s="61" t="inlineStr">
        <is>
          <t>21/09 → 05/10</t>
        </is>
      </c>
      <c r="L28" s="61" t="inlineStr">
        <is>
          <t>NOTIFICATION</t>
        </is>
      </c>
      <c r="M28" s="61" t="inlineStr">
        <is>
          <t>Chỉ hiển thị notification của chính người dùng, gồm nội dung, loại sự kiện, thời điểm và trạng thái đọc. Thông báo đổi/huỷ lớp phải gửi đúng hội viên đang đăng ký theo BR-2.7.</t>
        </is>
      </c>
      <c r="N28" s="62" t="inlineStr">
        <is>
          <t>Done</t>
        </is>
      </c>
      <c r="O28" s="63" t="inlineStr">
        <is>
          <t>sprint-1/be-nhanh, sprint-1/fe-khoi (đã merge main)</t>
        </is>
      </c>
    </row>
    <row r="29" ht="60" customHeight="1" s="47">
      <c r="A29" s="60" t="n">
        <v>25</v>
      </c>
      <c r="B29" s="61" t="inlineStr">
        <is>
          <t>Flow 1 – User &amp; Membership</t>
        </is>
      </c>
      <c r="C29" s="60" t="inlineStr">
        <is>
          <t>UC-UM-17</t>
        </is>
      </c>
      <c r="D29" s="61" t="inlineStr">
        <is>
          <t>Đánh dấu đã đọc (màn S21): người dùng chuyển một hoặc nhiều thông báo của mình sang trạng thái đã đọc; thao tác lặp lại không tạo bản ghi trùng.</t>
        </is>
      </c>
      <c r="E29" s="61" t="inlineStr">
        <is>
          <t>Tất cả tài khoản</t>
        </is>
      </c>
      <c r="F29" s="60" t="n">
        <v>25</v>
      </c>
      <c r="G29" s="60" t="inlineStr">
        <is>
          <t>Simple</t>
        </is>
      </c>
      <c r="H29" s="60" t="inlineStr">
        <is>
          <t>Nhanh</t>
        </is>
      </c>
      <c r="I29" s="60" t="inlineStr">
        <is>
          <t>Khôi</t>
        </is>
      </c>
      <c r="J29" s="60" t="inlineStr">
        <is>
          <t>Sprint 1</t>
        </is>
      </c>
      <c r="K29" s="61" t="inlineStr">
        <is>
          <t>21/09 → 05/10</t>
        </is>
      </c>
      <c r="L29" s="61" t="inlineStr">
        <is>
          <t>NOTIFICATION</t>
        </is>
      </c>
      <c r="M29" s="61" t="inlineStr">
        <is>
          <t>Chỉ notification của chính người dùng được chuyển READ; bấm lặp lại không lỗi và không tạo bản ghi trùng. Gửi lỗi phải vào hàng chờ/retry; không xoá mất lịch sử thông báo.</t>
        </is>
      </c>
      <c r="N29" s="62" t="inlineStr">
        <is>
          <t>Done</t>
        </is>
      </c>
      <c r="O29" s="63" t="inlineStr">
        <is>
          <t>sprint-1/be-nhanh, sprint-1/fe-khoi (đã merge main)</t>
        </is>
      </c>
    </row>
    <row r="30" ht="60" customHeight="1" s="47">
      <c r="A30" s="64" t="n">
        <v>26</v>
      </c>
      <c r="B30" s="65" t="inlineStr">
        <is>
          <t>Flow 3 – Payment &amp; Report</t>
        </is>
      </c>
      <c r="C30" s="64" t="inlineStr">
        <is>
          <t>UC-PAY-06</t>
        </is>
      </c>
      <c r="D30" s="65" t="inlineStr">
        <is>
          <t>Thanh toán tại quầy (màn 16): nhân viên tạo hoá đơn, ghi nhận số tiền thực thu và hoàn tất payment tại quầy để kích hoạt hoặc gia hạn membership.</t>
        </is>
      </c>
      <c r="E30" s="65" t="inlineStr">
        <is>
          <t>Receptionist</t>
        </is>
      </c>
      <c r="F30" s="64" t="n">
        <v>26</v>
      </c>
      <c r="G30" s="64" t="inlineStr">
        <is>
          <t>Medium</t>
        </is>
      </c>
      <c r="H30" s="64" t="inlineStr">
        <is>
          <t>Nhanh</t>
        </is>
      </c>
      <c r="I30" s="64" t="inlineStr">
        <is>
          <t>Khôi</t>
        </is>
      </c>
      <c r="J30" s="64" t="inlineStr">
        <is>
          <t>Sprint 1</t>
        </is>
      </c>
      <c r="K30" s="65" t="inlineStr">
        <is>
          <t>21/09 → 05/10</t>
        </is>
      </c>
      <c r="L30" s="65" t="inlineStr">
        <is>
          <t>INVOICE, PAYMENT, MEMBERSHIP</t>
        </is>
      </c>
      <c r="M30" s="65" t="inlineStr">
        <is>
          <t>BR-PAY-14: số tiền thực thu phải đúng giá gói, lễ tân không sửa giá. Hoá đơn, payment và membership được ghi trong một transaction; chỉ PAID mới kích hoạt/gia hạn theo BR-3.2, áp dụng BR-1.3/1.4 và ghi người thu/audit.</t>
        </is>
      </c>
      <c r="N30" s="66" t="inlineStr">
        <is>
          <t>Done</t>
        </is>
      </c>
      <c r="O30" s="67" t="inlineStr">
        <is>
          <t>sprint-1/be-nhanh, sprint-1/fe-khoi (đã merge main)</t>
        </is>
      </c>
    </row>
    <row r="31" ht="60" customHeight="1" s="47">
      <c r="A31" s="64" t="n">
        <v>27</v>
      </c>
      <c r="B31" s="65" t="inlineStr">
        <is>
          <t>Flow 3 – Payment &amp; Report</t>
        </is>
      </c>
      <c r="C31" s="64" t="inlineStr">
        <is>
          <t>UC-PAY-07</t>
        </is>
      </c>
      <c r="D31" s="65" t="inlineStr">
        <is>
          <t>In / xuất PDF hoá đơn (màn 16, S30): người có quyền tạo bản in/PDF từ hoá đơn, hiển thị mã hoá đơn, gói, số tiền và trạng thái thanh toán.</t>
        </is>
      </c>
      <c r="E31" s="65" t="inlineStr">
        <is>
          <t>Receptionist / Member / Center Manager</t>
        </is>
      </c>
      <c r="F31" s="64" t="n">
        <v>27</v>
      </c>
      <c r="G31" s="64" t="inlineStr">
        <is>
          <t>Medium</t>
        </is>
      </c>
      <c r="H31" s="64" t="inlineStr">
        <is>
          <t>Nhanh</t>
        </is>
      </c>
      <c r="I31" s="64" t="inlineStr">
        <is>
          <t>Khôi</t>
        </is>
      </c>
      <c r="J31" s="64" t="inlineStr">
        <is>
          <t>Sprint 1</t>
        </is>
      </c>
      <c r="K31" s="65" t="inlineStr">
        <is>
          <t>21/09 → 05/10</t>
        </is>
      </c>
      <c r="L31" s="65" t="inlineStr">
        <is>
          <t>INVOICE, PAYMENT, SYSTEM_SETTING*</t>
        </is>
      </c>
      <c r="M31" s="65" t="inlineStr">
        <is>
          <t>Chỉ in/xuất hoá đơn PAID; số tiền lấy từ bản ghi gốc, thông tin trung tâm lấy từ cấu hình. Hội viên chỉ được in hoá đơn của mình; truy cập ngoài phạm vi trả 403/404 theo policy.</t>
        </is>
      </c>
      <c r="N31" s="66" t="inlineStr">
        <is>
          <t>Done</t>
        </is>
      </c>
      <c r="O31" s="67" t="inlineStr">
        <is>
          <t>sprint-1/be-nhanh, sprint-1/fe-khoi (đã merge main)</t>
        </is>
      </c>
    </row>
    <row r="32" ht="60" customHeight="1" s="47">
      <c r="A32" s="64" t="n">
        <v>28</v>
      </c>
      <c r="B32" s="65" t="inlineStr">
        <is>
          <t>Flow 3 – Payment &amp; Report</t>
        </is>
      </c>
      <c r="C32" s="64" t="inlineStr">
        <is>
          <t>UC-PAY-10</t>
        </is>
      </c>
      <c r="D32" s="65" t="inlineStr">
        <is>
          <t>Chi tiết hoá đơn (màn S30): hiển thị toàn bộ thông tin hoá đơn, trạng thái, dòng gói, số tiền yêu cầu/thực nhận và payment liên quan theo quyền truy cập.</t>
        </is>
      </c>
      <c r="E32" s="65" t="inlineStr">
        <is>
          <t>Member / Receptionist / Center Manager</t>
        </is>
      </c>
      <c r="F32" s="64" t="n">
        <v>28</v>
      </c>
      <c r="G32" s="64" t="inlineStr">
        <is>
          <t>Simple</t>
        </is>
      </c>
      <c r="H32" s="64" t="inlineStr">
        <is>
          <t>Nhanh</t>
        </is>
      </c>
      <c r="I32" s="64" t="inlineStr">
        <is>
          <t>Khôi</t>
        </is>
      </c>
      <c r="J32" s="64" t="inlineStr">
        <is>
          <t>Sprint 1</t>
        </is>
      </c>
      <c r="K32" s="65" t="inlineStr">
        <is>
          <t>21/09 → 05/10</t>
        </is>
      </c>
      <c r="L32" s="65" t="inlineStr">
        <is>
          <t>INVOICE, PAYMENT</t>
        </is>
      </c>
      <c r="M32" s="65" t="inlineStr">
        <is>
          <t>Hiển thị mã, trạng thái Pending/Paid/Failed/Refunded, dòng gói, số tiền yêu cầu/thực nhận, thời điểm và payment liên quan. Chỉ chủ hoá đơn hoặc người có permission được xem; không sửa số tiền và giữ lịch sử theo BR-3.1.</t>
        </is>
      </c>
      <c r="N32" s="66" t="inlineStr">
        <is>
          <t>Done</t>
        </is>
      </c>
      <c r="O32" s="67" t="inlineStr">
        <is>
          <t>sprint-1/be-nhanh, sprint-1/fe-khoi (đã merge main)</t>
        </is>
      </c>
    </row>
    <row r="33" ht="60" customHeight="1" s="47">
      <c r="A33" s="68" t="n">
        <v>29</v>
      </c>
      <c r="B33" s="69" t="inlineStr">
        <is>
          <t>Flow 2 – Class Booking &amp; Schedule</t>
        </is>
      </c>
      <c r="C33" s="68" t="inlineStr">
        <is>
          <t>UC-CB-01</t>
        </is>
      </c>
      <c r="D33" s="69" t="inlineStr">
        <is>
          <t>Sửa danh sách bộ môn (màn 13): Manager tạo, đổi tên hoặc ngừng hoạt động bộ môn để sử dụng khi tạo lớp và phân loại lịch tập.</t>
        </is>
      </c>
      <c r="E33" s="69" t="inlineStr">
        <is>
          <t>Center Manager</t>
        </is>
      </c>
      <c r="F33" s="68" t="n">
        <v>29</v>
      </c>
      <c r="G33" s="68" t="inlineStr">
        <is>
          <t>Simple</t>
        </is>
      </c>
      <c r="H33" s="68" t="inlineStr">
        <is>
          <t>Bảo</t>
        </is>
      </c>
      <c r="I33" s="68" t="inlineStr">
        <is>
          <t>Khải</t>
        </is>
      </c>
      <c r="J33" s="68" t="inlineStr">
        <is>
          <t>Sprint 2</t>
        </is>
      </c>
      <c r="K33" s="69" t="inlineStr">
        <is>
          <t>06/10 → 19/10</t>
        </is>
      </c>
      <c r="L33" s="69" t="inlineStr">
        <is>
          <t>SUBJECT*, CLASS</t>
        </is>
      </c>
      <c r="M33" s="69" t="inlineStr">
        <is>
          <t>Tên bộ môn không trùng. Bộ môn đang có lớp OPEN không xoá cứng, chỉ chuyển ngừng hoạt động theo BR-2.12/BR-0.1; lớp và lịch cũ vẫn giữ tham chiếu.</t>
        </is>
      </c>
      <c r="N33" s="70" t="inlineStr">
        <is>
          <t>Done</t>
        </is>
      </c>
      <c r="O33" s="71" t="inlineStr">
        <is>
          <t>sprint-2/be-bao, sprint-2/fe-khai (đã merge main)</t>
        </is>
      </c>
    </row>
    <row r="34" ht="60" customHeight="1" s="47">
      <c r="A34" s="68" t="n">
        <v>30</v>
      </c>
      <c r="B34" s="69" t="inlineStr">
        <is>
          <t>Flow 2 – Class Booking &amp; Schedule</t>
        </is>
      </c>
      <c r="C34" s="68" t="inlineStr">
        <is>
          <t>UC-CB-14</t>
        </is>
      </c>
      <c r="D34" s="69" t="inlineStr">
        <is>
          <t>Danh sách phòng tập (màn 13): hiển thị các phòng, sức chứa, trạng thái hoạt động và lớp đang được gán để phục vụ quản lý lịch.</t>
        </is>
      </c>
      <c r="E34" s="69" t="inlineStr">
        <is>
          <t>Center Manager</t>
        </is>
      </c>
      <c r="F34" s="68" t="n">
        <v>30</v>
      </c>
      <c r="G34" s="68" t="inlineStr">
        <is>
          <t>Simple</t>
        </is>
      </c>
      <c r="H34" s="68" t="inlineStr">
        <is>
          <t>Bảo</t>
        </is>
      </c>
      <c r="I34" s="68" t="inlineStr">
        <is>
          <t>Khải</t>
        </is>
      </c>
      <c r="J34" s="68" t="inlineStr">
        <is>
          <t>Sprint 2</t>
        </is>
      </c>
      <c r="K34" s="69" t="inlineStr">
        <is>
          <t>06/10 → 19/10</t>
        </is>
      </c>
      <c r="L34" s="69" t="inlineStr">
        <is>
          <t>ROOM*, CLASS</t>
        </is>
      </c>
      <c r="M34" s="69" t="inlineStr">
        <is>
          <t>Hiển thị phòng, sức chứa, trạng thái hoạt động và lớp đang gán; dữ liệu dùng để kiểm tra sức chứa và lịch. Phòng đã được tham chiếu không được làm mất khỏi lịch sử.</t>
        </is>
      </c>
      <c r="N34" s="70" t="inlineStr">
        <is>
          <t>Done</t>
        </is>
      </c>
      <c r="O34" s="71" t="inlineStr">
        <is>
          <t>sprint-2/be-bao, sprint-2/fe-khai (đã merge main)</t>
        </is>
      </c>
    </row>
    <row r="35" ht="60" customHeight="1" s="47">
      <c r="A35" s="68" t="n">
        <v>31</v>
      </c>
      <c r="B35" s="69" t="inlineStr">
        <is>
          <t>Flow 2 – Class Booking &amp; Schedule</t>
        </is>
      </c>
      <c r="C35" s="68" t="inlineStr">
        <is>
          <t>UC-CB-14</t>
        </is>
      </c>
      <c r="D35" s="69" t="inlineStr">
        <is>
          <t>Tạo / sửa / ngừng hoạt động phòng (màn 13): Manager tạo hoặc cập nhật phòng, sức chứa và trạng thái; hệ thống kiểm tra xung đột với lớp đã có.</t>
        </is>
      </c>
      <c r="E35" s="69" t="inlineStr">
        <is>
          <t>Center Manager</t>
        </is>
      </c>
      <c r="F35" s="68" t="n">
        <v>31</v>
      </c>
      <c r="G35" s="68" t="inlineStr">
        <is>
          <t>Medium</t>
        </is>
      </c>
      <c r="H35" s="68" t="inlineStr">
        <is>
          <t>Bảo</t>
        </is>
      </c>
      <c r="I35" s="68" t="inlineStr">
        <is>
          <t>Khải</t>
        </is>
      </c>
      <c r="J35" s="68" t="inlineStr">
        <is>
          <t>Sprint 2</t>
        </is>
      </c>
      <c r="K35" s="69" t="inlineStr">
        <is>
          <t>06/10 → 19/10</t>
        </is>
      </c>
      <c r="L35" s="69" t="inlineStr">
        <is>
          <t>ROOM*, CLASS, AUDIT_LOG*</t>
        </is>
      </c>
      <c r="M35" s="69" t="inlineStr">
        <is>
          <t>Tên phòng không trùng, sức chứa phải lớn hơn 0. Phòng đang có lớp OPEN không được xoá, chỉ chuyển INACTIVE theo BR-2.12; không để sức chứa mới làm lớp hiện hữu vượt giới hạn theo BR-2.10 và ghi audit.</t>
        </is>
      </c>
      <c r="N35" s="70" t="inlineStr">
        <is>
          <t>Done</t>
        </is>
      </c>
      <c r="O35" s="71" t="inlineStr">
        <is>
          <t>sprint-2/be-bao, sprint-2/fe-khai (đã merge main)</t>
        </is>
      </c>
    </row>
    <row r="36" ht="60" customHeight="1" s="47">
      <c r="A36" s="68" t="n">
        <v>32</v>
      </c>
      <c r="B36" s="69" t="inlineStr">
        <is>
          <t>Flow 2 – Class Booking &amp; Schedule</t>
        </is>
      </c>
      <c r="C36" s="68" t="inlineStr">
        <is>
          <t>UC-CB-02</t>
        </is>
      </c>
      <c r="D36" s="69" t="inlineStr">
        <is>
          <t>Tạo lớp (màn 12): Manager nhập bộ môn, phòng, coach, sức chứa, khoảng ngày và lịch tuần; hệ thống kiểm tra dữ liệu rồi sinh các buổi học cụ thể.</t>
        </is>
      </c>
      <c r="E36" s="69" t="inlineStr">
        <is>
          <t>Center Manager</t>
        </is>
      </c>
      <c r="F36" s="68" t="n">
        <v>32</v>
      </c>
      <c r="G36" s="68" t="inlineStr">
        <is>
          <t>Medium</t>
        </is>
      </c>
      <c r="H36" s="68" t="inlineStr">
        <is>
          <t>Bảo</t>
        </is>
      </c>
      <c r="I36" s="68" t="inlineStr">
        <is>
          <t>Khải</t>
        </is>
      </c>
      <c r="J36" s="68" t="inlineStr">
        <is>
          <t>Sprint 2</t>
        </is>
      </c>
      <c r="K36" s="69" t="inlineStr">
        <is>
          <t>06/10 → 19/10</t>
        </is>
      </c>
      <c r="L36" s="69" t="inlineStr">
        <is>
          <t>CLASS, CLASS_SESSION, ROOM*, USER</t>
        </is>
      </c>
      <c r="M36" s="69" t="inlineStr">
        <is>
          <t>BR-2.11: ngày kết thúc &gt;= ngày bắt đầu, ít nhất một buổi/tuần, giờ kết thúc &gt; giờ bắt đầu. BR-2.10: sức chứa lớp &lt;= sức chứa phòng; coach phải ACTIVE; coach và phòng không trùng theo từng buổi BR-2.4/2.8; lịch tuần được dùng để sinh buổi cụ thể.</t>
        </is>
      </c>
      <c r="N36" s="70" t="inlineStr">
        <is>
          <t>Done</t>
        </is>
      </c>
      <c r="O36" s="71" t="inlineStr">
        <is>
          <t>sprint-2/be-bao, sprint-2/fe-khai (đã merge main)</t>
        </is>
      </c>
    </row>
    <row r="37" ht="73.5" customHeight="1" s="47">
      <c r="A37" s="68" t="n">
        <v>33</v>
      </c>
      <c r="B37" s="69" t="inlineStr">
        <is>
          <t>Flow 2 – Class Booking &amp; Schedule</t>
        </is>
      </c>
      <c r="C37" s="68" t="inlineStr">
        <is>
          <t>UC-CB-03</t>
        </is>
      </c>
      <c r="D37" s="69" t="inlineStr">
        <is>
          <t>Sửa lớp / đổi lịch (màn 12): Manager thay đổi thông tin lớp hoặc lịch buổi; hệ thống kiểm tra booking hiện có, xung đột mới và gửi thông báo cho hội viên bị ảnh hưởng.</t>
        </is>
      </c>
      <c r="E37" s="69" t="inlineStr">
        <is>
          <t>Center Manager</t>
        </is>
      </c>
      <c r="F37" s="68" t="n">
        <v>33</v>
      </c>
      <c r="G37" s="68" t="inlineStr">
        <is>
          <t>Medium</t>
        </is>
      </c>
      <c r="H37" s="68" t="inlineStr">
        <is>
          <t>Bảo</t>
        </is>
      </c>
      <c r="I37" s="68" t="inlineStr">
        <is>
          <t>Khải</t>
        </is>
      </c>
      <c r="J37" s="68" t="inlineStr">
        <is>
          <t>Sprint 2</t>
        </is>
      </c>
      <c r="K37" s="69" t="inlineStr">
        <is>
          <t>06/10 → 19/10</t>
        </is>
      </c>
      <c r="L37" s="69" t="inlineStr">
        <is>
          <t>CLASS, CLASS_SESSION, ENROLLMENT, NOTIFICATION</t>
        </is>
      </c>
      <c r="M37" s="69" t="inlineStr">
        <is>
          <t>Kiểm tra lại số hội viên đã đăng ký và toàn bộ buổi chưa diễn ra. Sức chứa mới không nhỏ hơn số đã đăng ký theo BR-2.9; lịch mới không xung đột; hội viên bị ảnh hưởng nhận thông báo và được tự huỷ miễn phí nếu phát sinh trùng, không tự động huỷ theo BR-2.7/2.15.</t>
        </is>
      </c>
      <c r="N37" s="70" t="inlineStr">
        <is>
          <t>Done</t>
        </is>
      </c>
      <c r="O37" s="71" t="inlineStr">
        <is>
          <t>sprint-2/be-bao, sprint-2/fe-khai (đã merge main)</t>
        </is>
      </c>
    </row>
    <row r="38" ht="60" customHeight="1" s="47">
      <c r="A38" s="68" t="n">
        <v>34</v>
      </c>
      <c r="B38" s="69" t="inlineStr">
        <is>
          <t>Flow 2 – Class Booking &amp; Schedule</t>
        </is>
      </c>
      <c r="C38" s="68" t="inlineStr">
        <is>
          <t>UC-CB-04</t>
        </is>
      </c>
      <c r="D38" s="69" t="inlineStr">
        <is>
          <t>Huỷ lớp (màn S25): Manager huỷ lớp hoặc các buổi chưa diễn ra, cập nhật trạng thái booking liên quan và thông báo cho hội viên đã đăng ký.</t>
        </is>
      </c>
      <c r="E38" s="69" t="inlineStr">
        <is>
          <t>Center Manager</t>
        </is>
      </c>
      <c r="F38" s="68" t="n">
        <v>34</v>
      </c>
      <c r="G38" s="68" t="inlineStr">
        <is>
          <t>Medium</t>
        </is>
      </c>
      <c r="H38" s="68" t="inlineStr">
        <is>
          <t>Bảo</t>
        </is>
      </c>
      <c r="I38" s="68" t="inlineStr">
        <is>
          <t>Khải</t>
        </is>
      </c>
      <c r="J38" s="68" t="inlineStr">
        <is>
          <t>Sprint 2</t>
        </is>
      </c>
      <c r="K38" s="69" t="inlineStr">
        <is>
          <t>06/10 → 19/10</t>
        </is>
      </c>
      <c r="L38" s="69" t="inlineStr">
        <is>
          <t>CLASS, CLASS_SESSION, ENROLLMENT, NOTIFICATION</t>
        </is>
      </c>
      <c r="M38" s="69" t="inlineStr">
        <is>
          <t>Chỉ huỷ buổi/lớp chưa diễn ra bằng đổi trạng thái, không xoá dữ liệu lịch sử theo BR-0.1. Booking liên quan được cập nhật theo policy, hội viên nhận thông báo và lớp đã huỷ không tiếp tục nhận đăng ký.</t>
        </is>
      </c>
      <c r="N38" s="70" t="inlineStr">
        <is>
          <t>Done</t>
        </is>
      </c>
      <c r="O38" s="71" t="inlineStr">
        <is>
          <t>sprint-2/be-bao, sprint-2/fe-khai (đã merge main)</t>
        </is>
      </c>
    </row>
    <row r="39" ht="60" customHeight="1" s="47">
      <c r="A39" s="68" t="n">
        <v>35</v>
      </c>
      <c r="B39" s="69" t="inlineStr">
        <is>
          <t>Flow 2 – Class Booking &amp; Schedule</t>
        </is>
      </c>
      <c r="C39" s="68" t="inlineStr">
        <is>
          <t>UC-CB-13</t>
        </is>
      </c>
      <c r="D39" s="69" t="inlineStr">
        <is>
          <t>Gửi thông báo thay đổi lớp (hệ thống): job hệ thống xác định hội viên bị ảnh hưởng bởi đổi/huỷ lớp và gửi một thông báo cho từng người.</t>
        </is>
      </c>
      <c r="E39" s="69" t="inlineStr">
        <is>
          <t>System job</t>
        </is>
      </c>
      <c r="F39" s="68" t="n">
        <v>35</v>
      </c>
      <c r="G39" s="68" t="inlineStr">
        <is>
          <t>Medium</t>
        </is>
      </c>
      <c r="H39" s="68" t="inlineStr">
        <is>
          <t>Bảo</t>
        </is>
      </c>
      <c r="I39" s="68" t="inlineStr">
        <is>
          <t>—</t>
        </is>
      </c>
      <c r="J39" s="68" t="inlineStr">
        <is>
          <t>Sprint 2</t>
        </is>
      </c>
      <c r="K39" s="69" t="inlineStr">
        <is>
          <t>06/10 → 19/10</t>
        </is>
      </c>
      <c r="L39" s="69" t="inlineStr">
        <is>
          <t>NOTIFICATION, ENROLLMENT</t>
        </is>
      </c>
      <c r="M39" s="69" t="inlineStr">
        <is>
          <t>Job lấy đúng hội viên đang đăng ký của lớp/buổi bị đổi hoặc huỷ và tạo một thông báo cho mỗi người. Không gửi trùng cùng một thay đổi; lỗi gửi vào retry queue và không gửi cho người không bị ảnh hưởng theo BR-2.7.</t>
        </is>
      </c>
      <c r="N39" s="70" t="inlineStr">
        <is>
          <t>Done</t>
        </is>
      </c>
      <c r="O39" s="71" t="inlineStr">
        <is>
          <t>sprint-2/be-bao (đã merge main)</t>
        </is>
      </c>
    </row>
    <row r="40" ht="60" customHeight="1" s="47">
      <c r="A40" s="68" t="n">
        <v>36</v>
      </c>
      <c r="B40" s="69" t="inlineStr">
        <is>
          <t>Flow 2 – Class Booking &amp; Schedule</t>
        </is>
      </c>
      <c r="C40" s="68" t="inlineStr">
        <is>
          <t>UC-CB-05</t>
        </is>
      </c>
      <c r="D40" s="69" t="inlineStr">
        <is>
          <t>Danh sách lớp đang mở (màn 9): hội viên xem các lớp đang nhận đăng ký, lịch từng buổi, coach, phòng, sức chứa và số chỗ còn lại.</t>
        </is>
      </c>
      <c r="E40" s="69" t="inlineStr">
        <is>
          <t>Member</t>
        </is>
      </c>
      <c r="F40" s="68" t="n">
        <v>36</v>
      </c>
      <c r="G40" s="68" t="inlineStr">
        <is>
          <t>Simple</t>
        </is>
      </c>
      <c r="H40" s="68" t="inlineStr">
        <is>
          <t>Bảo</t>
        </is>
      </c>
      <c r="I40" s="68" t="inlineStr">
        <is>
          <t>Khải</t>
        </is>
      </c>
      <c r="J40" s="68" t="inlineStr">
        <is>
          <t>Sprint 2</t>
        </is>
      </c>
      <c r="K40" s="69" t="inlineStr">
        <is>
          <t>06/10 → 19/10</t>
        </is>
      </c>
      <c r="L40" s="69" t="inlineStr">
        <is>
          <t>CLASS, CLASS_SESSION, ENROLLMENT</t>
        </is>
      </c>
      <c r="M40" s="69" t="inlineStr">
        <is>
          <t>Chỉ lớp OPEN và đang trong khoảng ngày nhận đăng ký theo BR-2.6. Hiển thị lịch từng buổi, coach, phòng, sức chứa và số chỗ còn theo dữ liệu booking hiện tại, không chỉ theo giá trị lưu cũ.</t>
        </is>
      </c>
      <c r="N40" s="70" t="inlineStr">
        <is>
          <t>Done</t>
        </is>
      </c>
      <c r="O40" s="71" t="inlineStr">
        <is>
          <t>sprint-2/be-bao, sprint-2/fe-khai (đã merge main)</t>
        </is>
      </c>
    </row>
    <row r="41" ht="60" customHeight="1" s="47">
      <c r="A41" s="68" t="n">
        <v>37</v>
      </c>
      <c r="B41" s="69" t="inlineStr">
        <is>
          <t>Flow 2 – Class Booking &amp; Schedule</t>
        </is>
      </c>
      <c r="C41" s="68" t="inlineStr">
        <is>
          <t>UC-CB-15</t>
        </is>
      </c>
      <c r="D41" s="69" t="inlineStr">
        <is>
          <t>Chi tiết lớp (màn S24): hiển thị đầy đủ thông tin lớp/buổi học, trạng thái đăng ký, số chỗ và mốc thời gian được phép huỷ.</t>
        </is>
      </c>
      <c r="E41" s="69" t="inlineStr">
        <is>
          <t>Member</t>
        </is>
      </c>
      <c r="F41" s="68" t="n">
        <v>37</v>
      </c>
      <c r="G41" s="68" t="inlineStr">
        <is>
          <t>Simple</t>
        </is>
      </c>
      <c r="H41" s="68" t="inlineStr">
        <is>
          <t>Bảo</t>
        </is>
      </c>
      <c r="I41" s="68" t="inlineStr">
        <is>
          <t>Khải</t>
        </is>
      </c>
      <c r="J41" s="68" t="inlineStr">
        <is>
          <t>Sprint 2</t>
        </is>
      </c>
      <c r="K41" s="69" t="inlineStr">
        <is>
          <t>06/10 → 19/10</t>
        </is>
      </c>
      <c r="L41" s="69" t="inlineStr">
        <is>
          <t>CLASS, CLASS_SESSION, ENROLLMENT, SYSTEM_SETTING*</t>
        </is>
      </c>
      <c r="M41" s="69" t="inlineStr">
        <is>
          <t>Hiển thị coach, phòng, lịch từng buổi, số chỗ, trạng thái đăng ký và mốc huỷ. Mốc huỷ lấy từ cấu hình, mặc định 12 giờ; trùng giờ xét theo ngày/giờ từng buổi và múi giờ Việt Nam theo BR-2.5/2.8/2.14.</t>
        </is>
      </c>
      <c r="N41" s="70" t="inlineStr">
        <is>
          <t>Done</t>
        </is>
      </c>
      <c r="O41" s="71" t="inlineStr">
        <is>
          <t>sprint-2/be-bao, sprint-2/fe-khai (đã merge main)</t>
        </is>
      </c>
    </row>
    <row r="42" ht="60" customHeight="1" s="47">
      <c r="A42" s="68" t="n">
        <v>38</v>
      </c>
      <c r="B42" s="69" t="inlineStr">
        <is>
          <t>Flow 2 – Class Booking &amp; Schedule</t>
        </is>
      </c>
      <c r="C42" s="68" t="inlineStr">
        <is>
          <t>UC-CB-17</t>
        </is>
      </c>
      <c r="D42" s="69" t="inlineStr">
        <is>
          <t>Danh sách lớp (quản lý) (màn S25): Manager hoặc coach xem danh sách lớp theo ngày, trạng thái, bộ môn hoặc coach trong phạm vi được phân quyền.</t>
        </is>
      </c>
      <c r="E42" s="69" t="inlineStr">
        <is>
          <t>Center Manager / Coach</t>
        </is>
      </c>
      <c r="F42" s="68" t="n">
        <v>38</v>
      </c>
      <c r="G42" s="68" t="inlineStr">
        <is>
          <t>Simple</t>
        </is>
      </c>
      <c r="H42" s="68" t="inlineStr">
        <is>
          <t>Nhanh</t>
        </is>
      </c>
      <c r="I42" s="68" t="inlineStr">
        <is>
          <t>Khôi</t>
        </is>
      </c>
      <c r="J42" s="68" t="inlineStr">
        <is>
          <t>Sprint 2</t>
        </is>
      </c>
      <c r="K42" s="69" t="inlineStr">
        <is>
          <t>06/10 → 19/10</t>
        </is>
      </c>
      <c r="L42" s="69" t="inlineStr">
        <is>
          <t>CLASS, CLASS_SESSION</t>
        </is>
      </c>
      <c r="M42" s="69" t="inlineStr">
        <is>
          <t>Manager xem phạm vi quản lý; coach chỉ xem lớp được phân công nếu không có quyền quản trị. Bộ lọc ngày, trạng thái, bộ môn và coach phải tôn trọng RBAC, không lộ lớp ngoài phạm vi.</t>
        </is>
      </c>
      <c r="N42" s="70" t="inlineStr">
        <is>
          <t>Done</t>
        </is>
      </c>
      <c r="O42" s="71" t="inlineStr">
        <is>
          <t>sprint-2/be-nhanh, sprint-2/fe-khoi (đã merge main)</t>
        </is>
      </c>
    </row>
    <row r="43" ht="60" customHeight="1" s="47">
      <c r="A43" s="68" t="n">
        <v>39</v>
      </c>
      <c r="B43" s="69" t="inlineStr">
        <is>
          <t>Flow 2 – Class Booking &amp; Schedule</t>
        </is>
      </c>
      <c r="C43" s="68" t="inlineStr">
        <is>
          <t>UC-CB-17</t>
        </is>
      </c>
      <c r="D43" s="69" t="inlineStr">
        <is>
          <t>Chi tiết lớp và học viên (quản lý) (màn S26): người có quyền mở một lớp để xem từng buổi, danh sách hội viên, trạng thái booking và các thay đổi lịch.</t>
        </is>
      </c>
      <c r="E43" s="69" t="inlineStr">
        <is>
          <t>Center Manager / Coach</t>
        </is>
      </c>
      <c r="F43" s="68" t="n">
        <v>39</v>
      </c>
      <c r="G43" s="68" t="inlineStr">
        <is>
          <t>Simple</t>
        </is>
      </c>
      <c r="H43" s="68" t="inlineStr">
        <is>
          <t>Nhanh</t>
        </is>
      </c>
      <c r="I43" s="68" t="inlineStr">
        <is>
          <t>Khôi</t>
        </is>
      </c>
      <c r="J43" s="68" t="inlineStr">
        <is>
          <t>Sprint 2</t>
        </is>
      </c>
      <c r="K43" s="69" t="inlineStr">
        <is>
          <t>06/10 → 19/10</t>
        </is>
      </c>
      <c r="L43" s="69" t="inlineStr">
        <is>
          <t>CLASS, CLASS_SESSION, ENROLLMENT</t>
        </is>
      </c>
      <c r="M43" s="69" t="inlineStr">
        <is>
          <t>Chỉ người có permission quản lý lớp hoặc coach phụ trách được xem. Hiển thị từng buổi, danh sách hội viên, trạng thái booking/cancel và thông báo; màn hình không xoá lịch sử đăng ký.</t>
        </is>
      </c>
      <c r="N43" s="70" t="inlineStr">
        <is>
          <t>Done</t>
        </is>
      </c>
      <c r="O43" s="71" t="inlineStr">
        <is>
          <t>sprint-2/be-nhanh, sprint-2/fe-khoi (đã merge main)</t>
        </is>
      </c>
    </row>
    <row r="44" ht="60" customHeight="1" s="47">
      <c r="A44" s="68" t="n">
        <v>40</v>
      </c>
      <c r="B44" s="69" t="inlineStr">
        <is>
          <t>Flow 2 – Class Booking &amp; Schedule</t>
        </is>
      </c>
      <c r="C44" s="68" t="inlineStr">
        <is>
          <t>UC-CB-06</t>
        </is>
      </c>
      <c r="D44" s="69" t="inlineStr">
        <is>
          <t>Đăng ký lớp (màn 9): Member chọn một lớp/buổi cụ thể; hệ thống kiểm tra membership, thời gian mở đăng ký, chỗ trống và xung đột lịch trước khi giữ chỗ.</t>
        </is>
      </c>
      <c r="E44" s="69" t="inlineStr">
        <is>
          <t>Member</t>
        </is>
      </c>
      <c r="F44" s="68" t="n">
        <v>40</v>
      </c>
      <c r="G44" s="68" t="inlineStr">
        <is>
          <t>Medium</t>
        </is>
      </c>
      <c r="H44" s="68" t="inlineStr">
        <is>
          <t>Nhanh</t>
        </is>
      </c>
      <c r="I44" s="68" t="inlineStr">
        <is>
          <t>Khôi</t>
        </is>
      </c>
      <c r="J44" s="68" t="inlineStr">
        <is>
          <t>Sprint 2</t>
        </is>
      </c>
      <c r="K44" s="69" t="inlineStr">
        <is>
          <t>06/10 → 19/10</t>
        </is>
      </c>
      <c r="L44" s="69" t="inlineStr">
        <is>
          <t>CLASS, CLASS_SESSION, ENROLLMENT, MEMBERSHIP</t>
        </is>
      </c>
      <c r="M44" s="69" t="inlineStr">
        <is>
          <t>BR-2.1/1.5: phải có membership còn hiệu lực; BR-2.6: lớp OPEN và còn thời gian đăng ký; BR-2.2/2.3/2.8: đủ chỗ và không trùng lịch. Dùng khoá/transaction để hai người tranh chỗ cuối chỉ một người thành công; đăng ký trùng trả 409.</t>
        </is>
      </c>
      <c r="N44" s="70" t="inlineStr">
        <is>
          <t>Done</t>
        </is>
      </c>
      <c r="O44" s="71" t="inlineStr">
        <is>
          <t>sprint-2/be-nhanh, sprint-2/fe-khoi (đã merge main)</t>
        </is>
      </c>
    </row>
    <row r="45" ht="60" customHeight="1" s="47">
      <c r="A45" s="68" t="n">
        <v>41</v>
      </c>
      <c r="B45" s="69" t="inlineStr">
        <is>
          <t>Flow 2 – Class Booking &amp; Schedule</t>
        </is>
      </c>
      <c r="C45" s="68" t="inlineStr">
        <is>
          <t>UC-CB-07</t>
        </is>
      </c>
      <c r="D45" s="69" t="inlineStr">
        <is>
          <t>Huỷ đăng ký lớp (màn 10): Member chọn booking của mình để huỷ; hệ thống kiểm tra mốc thời gian tối thiểu trước buổi học rồi cập nhật trạng thái.</t>
        </is>
      </c>
      <c r="E45" s="69" t="inlineStr">
        <is>
          <t>Member</t>
        </is>
      </c>
      <c r="F45" s="68" t="n">
        <v>41</v>
      </c>
      <c r="G45" s="68" t="inlineStr">
        <is>
          <t>Medium</t>
        </is>
      </c>
      <c r="H45" s="68" t="inlineStr">
        <is>
          <t>Nhanh</t>
        </is>
      </c>
      <c r="I45" s="68" t="inlineStr">
        <is>
          <t>Khôi</t>
        </is>
      </c>
      <c r="J45" s="68" t="inlineStr">
        <is>
          <t>Sprint 2</t>
        </is>
      </c>
      <c r="K45" s="69" t="inlineStr">
        <is>
          <t>06/10 → 19/10</t>
        </is>
      </c>
      <c r="L45" s="69" t="inlineStr">
        <is>
          <t>ENROLLMENT, CLASS_SESSION</t>
        </is>
      </c>
      <c r="M45" s="69" t="inlineStr">
        <is>
          <t>Lấy buổi gần nhất chưa diễn ra và so sánh thời gian còn lại với N giờ cấu hình, mặc định 12 giờ. Chỉ huỷ khi còn &gt;= N giờ theo múi giờ Việt Nam; chỉ huỷ booking của mình theo BR-2.5/2.14.</t>
        </is>
      </c>
      <c r="N45" s="70" t="inlineStr">
        <is>
          <t>Done</t>
        </is>
      </c>
      <c r="O45" s="71" t="inlineStr">
        <is>
          <t>sprint-2/be-nhanh, sprint-2/fe-khoi (đã merge main)</t>
        </is>
      </c>
    </row>
    <row r="46" ht="60" customHeight="1" s="47">
      <c r="A46" s="68" t="n">
        <v>42</v>
      </c>
      <c r="B46" s="69" t="inlineStr">
        <is>
          <t>Flow 2 – Class Booking &amp; Schedule</t>
        </is>
      </c>
      <c r="C46" s="68" t="inlineStr">
        <is>
          <t>UC-CB-09</t>
        </is>
      </c>
      <c r="D46" s="69" t="inlineStr">
        <is>
          <t>Đăng ký lớp hộ hội viên (màn S23): lễ tân/Manager thực hiện đăng ký thay cho hội viên và lưu rõ nhân viên đã thực hiện thao tác.</t>
        </is>
      </c>
      <c r="E46" s="69" t="inlineStr">
        <is>
          <t>Receptionist / Center Manager</t>
        </is>
      </c>
      <c r="F46" s="68" t="n">
        <v>42</v>
      </c>
      <c r="G46" s="68" t="inlineStr">
        <is>
          <t>Medium</t>
        </is>
      </c>
      <c r="H46" s="68" t="inlineStr">
        <is>
          <t>Nhanh</t>
        </is>
      </c>
      <c r="I46" s="68" t="inlineStr">
        <is>
          <t>Khôi</t>
        </is>
      </c>
      <c r="J46" s="68" t="inlineStr">
        <is>
          <t>Sprint 2</t>
        </is>
      </c>
      <c r="K46" s="69" t="inlineStr">
        <is>
          <t>06/10 → 19/10</t>
        </is>
      </c>
      <c r="L46" s="69" t="inlineStr">
        <is>
          <t>ENROLLMENT, MEMBERSHIP, CLASS</t>
        </is>
      </c>
      <c r="M46" s="69" t="inlineStr">
        <is>
          <t>Áp dụng mọi kiểm tra như hội viên tự đăng ký: membership, lớp OPEN, khoảng thời gian, sức chứa và trùng lịch. Lưu enrolled_by là nhân viên thực hiện, yêu cầu permission enroll_for_member và không tạo booking trùng.</t>
        </is>
      </c>
      <c r="N46" s="70" t="inlineStr">
        <is>
          <t>Done</t>
        </is>
      </c>
      <c r="O46" s="71" t="inlineStr">
        <is>
          <t>sprint-2/be-nhanh, sprint-2/fe-khoi (đã merge main)</t>
        </is>
      </c>
    </row>
    <row r="47" ht="60" customHeight="1" s="47">
      <c r="A47" s="68" t="n">
        <v>43</v>
      </c>
      <c r="B47" s="69" t="inlineStr">
        <is>
          <t>Flow 2 – Class Booking &amp; Schedule</t>
        </is>
      </c>
      <c r="C47" s="68" t="inlineStr">
        <is>
          <t>UC-CB-10</t>
        </is>
      </c>
      <c r="D47" s="69" t="inlineStr">
        <is>
          <t>Huỷ đăng ký hộ hội viên (màn S23): nhân viên huỷ booking thay cho hội viên theo cùng mốc thời gian và điều kiện như hội viên tự huỷ.</t>
        </is>
      </c>
      <c r="E47" s="69" t="inlineStr">
        <is>
          <t>Receptionist / Center Manager</t>
        </is>
      </c>
      <c r="F47" s="68" t="n">
        <v>43</v>
      </c>
      <c r="G47" s="68" t="inlineStr">
        <is>
          <t>Medium</t>
        </is>
      </c>
      <c r="H47" s="68" t="inlineStr">
        <is>
          <t>Nhanh</t>
        </is>
      </c>
      <c r="I47" s="68" t="inlineStr">
        <is>
          <t>Khôi</t>
        </is>
      </c>
      <c r="J47" s="68" t="inlineStr">
        <is>
          <t>Sprint 2</t>
        </is>
      </c>
      <c r="K47" s="69" t="inlineStr">
        <is>
          <t>06/10 → 19/10</t>
        </is>
      </c>
      <c r="L47" s="69" t="inlineStr">
        <is>
          <t>ENROLLMENT, AUDIT_LOG*</t>
        </is>
      </c>
      <c r="M47" s="69" t="inlineStr">
        <is>
          <t>Nhân viên không có đặc quyền bỏ qua mốc huỷ; áp dụng BR-2.5/2.14 giống hội viên. Lưu cancelled_by và audit; nếu quá hạn phải từ chối hoặc chuyển quy trình Manager.</t>
        </is>
      </c>
      <c r="N47" s="70" t="inlineStr">
        <is>
          <t>Done</t>
        </is>
      </c>
      <c r="O47" s="71" t="inlineStr">
        <is>
          <t>sprint-2/be-nhanh, sprint-2/fe-khoi (đã merge main)</t>
        </is>
      </c>
    </row>
    <row r="48" ht="60" customHeight="1" s="47">
      <c r="A48" s="68" t="n">
        <v>44</v>
      </c>
      <c r="B48" s="69" t="inlineStr">
        <is>
          <t>Flow 2 – Class Booking &amp; Schedule</t>
        </is>
      </c>
      <c r="C48" s="68" t="inlineStr">
        <is>
          <t>UC-CB-16</t>
        </is>
      </c>
      <c r="D48" s="69" t="inlineStr">
        <is>
          <t>Lịch tập cá nhân (màn 10): Member xem lịch các lớp/buổi đã đăng ký theo ngày hoặc tuần, kèm trạng thái booking và thông tin đổi/huỷ.</t>
        </is>
      </c>
      <c r="E48" s="69" t="inlineStr">
        <is>
          <t>Member</t>
        </is>
      </c>
      <c r="F48" s="68" t="n">
        <v>44</v>
      </c>
      <c r="G48" s="68" t="inlineStr">
        <is>
          <t>Simple</t>
        </is>
      </c>
      <c r="H48" s="68" t="inlineStr">
        <is>
          <t>Nhanh</t>
        </is>
      </c>
      <c r="I48" s="68" t="inlineStr">
        <is>
          <t>Khôi</t>
        </is>
      </c>
      <c r="J48" s="68" t="inlineStr">
        <is>
          <t>Sprint 2</t>
        </is>
      </c>
      <c r="K48" s="69" t="inlineStr">
        <is>
          <t>06/10 → 19/10</t>
        </is>
      </c>
      <c r="L48" s="69" t="inlineStr">
        <is>
          <t>ENROLLMENT, CLASS_SESSION</t>
        </is>
      </c>
      <c r="M48" s="69" t="inlineStr">
        <is>
          <t>Chỉ hiển thị lịch của chính hội viên, gồm ngày, buổi, phòng, coach và trạng thái booking. Nếu membership hết hạn giữa kỳ, booking đã có vẫn giữ đến hết lớp; chỉ chặn đăng ký mới theo BR-1.5/1.12.</t>
        </is>
      </c>
      <c r="N48" s="70" t="inlineStr">
        <is>
          <t>Done</t>
        </is>
      </c>
      <c r="O48" s="71" t="inlineStr">
        <is>
          <t>sprint-2/be-nhanh, sprint-2/fe-khoi (đã merge main)</t>
        </is>
      </c>
    </row>
    <row r="49" ht="60" customHeight="1" s="47">
      <c r="A49" s="68" t="n">
        <v>45</v>
      </c>
      <c r="B49" s="69" t="inlineStr">
        <is>
          <t>Flow 2 – Class Booking &amp; Schedule</t>
        </is>
      </c>
      <c r="C49" s="68" t="inlineStr">
        <is>
          <t>UC-CB-11</t>
        </is>
      </c>
      <c r="D49" s="69" t="inlineStr">
        <is>
          <t>Lịch dạy (màn 11): Coach xem các lớp và buổi học được phân công, gồm thời gian, phòng và thông tin cần thiết cho việc giảng dạy.</t>
        </is>
      </c>
      <c r="E49" s="69" t="inlineStr">
        <is>
          <t>Coach</t>
        </is>
      </c>
      <c r="F49" s="68" t="n">
        <v>45</v>
      </c>
      <c r="G49" s="68" t="inlineStr">
        <is>
          <t>Simple</t>
        </is>
      </c>
      <c r="H49" s="68" t="inlineStr">
        <is>
          <t>Nhanh</t>
        </is>
      </c>
      <c r="I49" s="68" t="inlineStr">
        <is>
          <t>Khôi</t>
        </is>
      </c>
      <c r="J49" s="68" t="inlineStr">
        <is>
          <t>Sprint 2</t>
        </is>
      </c>
      <c r="K49" s="69" t="inlineStr">
        <is>
          <t>06/10 → 19/10</t>
        </is>
      </c>
      <c r="L49" s="69" t="inlineStr">
        <is>
          <t>CLASS, CLASS_SESSION</t>
        </is>
      </c>
      <c r="M49" s="69" t="inlineStr">
        <is>
          <t>Coach chỉ xem các lớp được phân công, gồm thời gian, phòng và các buổi mới nhất sau khi đổi/huỷ. Không xem hoặc sửa lịch coach khác nếu không có permission quản lý.</t>
        </is>
      </c>
      <c r="N49" s="70" t="inlineStr">
        <is>
          <t>Done</t>
        </is>
      </c>
      <c r="O49" s="71" t="inlineStr">
        <is>
          <t>sprint-2/be-nhanh, sprint-2/fe-khoi (đã merge main)</t>
        </is>
      </c>
    </row>
    <row r="50" ht="60" customHeight="1" s="47">
      <c r="A50" s="68" t="n">
        <v>46</v>
      </c>
      <c r="B50" s="69" t="inlineStr">
        <is>
          <t>Flow 2 – Class Booking &amp; Schedule</t>
        </is>
      </c>
      <c r="C50" s="68" t="inlineStr">
        <is>
          <t>UC-CB-12</t>
        </is>
      </c>
      <c r="D50" s="69" t="inlineStr">
        <is>
          <t>Danh sách học viên của lớp (màn 11): coach phụ trách xem danh sách hội viên theo lớp/buổi, trạng thái đăng ký và thông tin tối thiểu phục vụ điểm danh.</t>
        </is>
      </c>
      <c r="E50" s="69" t="inlineStr">
        <is>
          <t>Coach</t>
        </is>
      </c>
      <c r="F50" s="68" t="n">
        <v>46</v>
      </c>
      <c r="G50" s="68" t="inlineStr">
        <is>
          <t>Medium</t>
        </is>
      </c>
      <c r="H50" s="68" t="inlineStr">
        <is>
          <t>Nhanh</t>
        </is>
      </c>
      <c r="I50" s="68" t="inlineStr">
        <is>
          <t>Khôi</t>
        </is>
      </c>
      <c r="J50" s="68" t="inlineStr">
        <is>
          <t>Sprint 2</t>
        </is>
      </c>
      <c r="K50" s="69" t="inlineStr">
        <is>
          <t>06/10 → 19/10</t>
        </is>
      </c>
      <c r="L50" s="69" t="inlineStr">
        <is>
          <t>ENROLLMENT, USER</t>
        </is>
      </c>
      <c r="M50" s="69" t="inlineStr">
        <is>
          <t>Chỉ coach phụ trách hoặc role có permission được xem danh sách học viên của lớp. Chỉ hiển thị thông tin tối thiểu phục vụ điểm danh và không cho truy cập lớp ngoài phạm vi.</t>
        </is>
      </c>
      <c r="N50" s="70" t="inlineStr">
        <is>
          <t>Done</t>
        </is>
      </c>
      <c r="O50" s="71" t="inlineStr">
        <is>
          <t>sprint-2/be-nhanh, sprint-2/fe-khoi (đã merge main)</t>
        </is>
      </c>
    </row>
    <row r="51" ht="73.5" customHeight="1" s="47">
      <c r="A51" s="60" t="n">
        <v>47</v>
      </c>
      <c r="B51" s="61" t="inlineStr">
        <is>
          <t>Flow 1 – User &amp; Membership</t>
        </is>
      </c>
      <c r="C51" s="60" t="inlineStr">
        <is>
          <t>UC-UM-12</t>
        </is>
      </c>
      <c r="D51" s="61" t="inlineStr">
        <is>
          <t>Gửi link đặt lại mật khẩu (màn S19): người dùng nhập email yêu cầu reset; hệ thống tạo link một lần và gửi thông báo mà không tiết lộ email có tồn tại hay không.</t>
        </is>
      </c>
      <c r="E51" s="61" t="inlineStr">
        <is>
          <t>Tất cả tài khoản</t>
        </is>
      </c>
      <c r="F51" s="60" t="n">
        <v>47</v>
      </c>
      <c r="G51" s="60" t="inlineStr">
        <is>
          <t>Medium</t>
        </is>
      </c>
      <c r="H51" s="60" t="inlineStr">
        <is>
          <t>Nhanh</t>
        </is>
      </c>
      <c r="I51" s="60" t="inlineStr">
        <is>
          <t>Nhanh</t>
        </is>
      </c>
      <c r="J51" s="60" t="inlineStr">
        <is>
          <t>Sprint 3</t>
        </is>
      </c>
      <c r="K51" s="61" t="inlineStr">
        <is>
          <t>20/10 → 02/11</t>
        </is>
      </c>
      <c r="L51" s="61" t="inlineStr">
        <is>
          <t>USER, EMAIL_VERIFICATION_TOKEN*</t>
        </is>
      </c>
      <c r="M51" s="61" t="inlineStr">
        <is>
          <t>Token reset là token một lần, hết hạn sau 15 phút theo BR-1.7. Hệ thống luôn trả thông báo chung kiểu “nếu email tồn tại đã gửi” để không dò tài khoản; không ghi token thô vào log.</t>
        </is>
      </c>
      <c r="N51" s="62" t="inlineStr">
        <is>
          <t>Review</t>
        </is>
      </c>
      <c r="O51" s="63" t="inlineStr">
        <is>
          <t>feature/f3-sepay-online-payment (PR #3)</t>
        </is>
      </c>
    </row>
    <row r="52" ht="60" customHeight="1" s="47">
      <c r="A52" s="60" t="n">
        <v>48</v>
      </c>
      <c r="B52" s="61" t="inlineStr">
        <is>
          <t>Flow 1 – User &amp; Membership</t>
        </is>
      </c>
      <c r="C52" s="60" t="inlineStr">
        <is>
          <t>UC-UM-12</t>
        </is>
      </c>
      <c r="D52" s="61" t="inlineStr">
        <is>
          <t>Đặt lại mật khẩu (màn S19): người dùng mở link còn hiệu lực và nhập mật khẩu mới; hệ thống xác nhận token trước khi cập nhật mật khẩu.</t>
        </is>
      </c>
      <c r="E52" s="61" t="inlineStr">
        <is>
          <t>Tất cả tài khoản</t>
        </is>
      </c>
      <c r="F52" s="60" t="n">
        <v>48</v>
      </c>
      <c r="G52" s="60" t="inlineStr">
        <is>
          <t>Medium</t>
        </is>
      </c>
      <c r="H52" s="60" t="inlineStr">
        <is>
          <t>Nhanh</t>
        </is>
      </c>
      <c r="I52" s="60" t="inlineStr">
        <is>
          <t>Nhanh</t>
        </is>
      </c>
      <c r="J52" s="60" t="inlineStr">
        <is>
          <t>Sprint 3</t>
        </is>
      </c>
      <c r="K52" s="61" t="inlineStr">
        <is>
          <t>20/10 → 02/11</t>
        </is>
      </c>
      <c r="L52" s="61" t="inlineStr">
        <is>
          <t>USER, EMAIL_VERIFICATION_TOKEN*</t>
        </is>
      </c>
      <c r="M52" s="61" t="inlineStr">
        <is>
          <t>Token phải còn hạn và chưa dùng; mật khẩu mới tối thiểu 8 ký tự và lưu mã hoá. Token sai/hết hạn/đã dùng bị từ chối; không lộ thông tin tài khoản.</t>
        </is>
      </c>
      <c r="N52" s="62" t="inlineStr">
        <is>
          <t>Review</t>
        </is>
      </c>
      <c r="O52" s="63" t="inlineStr">
        <is>
          <t>feature/f3-sepay-online-payment (PR #3)</t>
        </is>
      </c>
    </row>
    <row r="53" ht="73.5" customHeight="1" s="47">
      <c r="A53" s="60" t="n">
        <v>49</v>
      </c>
      <c r="B53" s="61" t="inlineStr">
        <is>
          <t>Flow 1 – User &amp; Membership</t>
        </is>
      </c>
      <c r="C53" s="60" t="inlineStr">
        <is>
          <t>UC-UM-04</t>
        </is>
      </c>
      <c r="D53" s="61" t="inlineStr">
        <is>
          <t>Chọn gói, tạo hoá đơn (online) (màn 14): Member chọn gói đang bán; hệ thống tạo hoặc tái sử dụng hoá đơn PENDING, sinh mã/QR và bắt đầu thời gian chờ thanh toán.</t>
        </is>
      </c>
      <c r="E53" s="61" t="inlineStr">
        <is>
          <t>Member</t>
        </is>
      </c>
      <c r="F53" s="60" t="n">
        <v>49</v>
      </c>
      <c r="G53" s="60" t="inlineStr">
        <is>
          <t>Medium</t>
        </is>
      </c>
      <c r="H53" s="60" t="inlineStr">
        <is>
          <t>Nhanh</t>
        </is>
      </c>
      <c r="I53" s="60" t="inlineStr">
        <is>
          <t>Nhanh</t>
        </is>
      </c>
      <c r="J53" s="60" t="inlineStr">
        <is>
          <t>Sprint 3</t>
        </is>
      </c>
      <c r="K53" s="61" t="inlineStr">
        <is>
          <t>20/10 → 02/11</t>
        </is>
      </c>
      <c r="L53" s="61" t="inlineStr">
        <is>
          <t>MEMBERSHIP_PLAN, INVOICE</t>
        </is>
      </c>
      <c r="M53" s="61" t="inlineStr">
        <is>
          <t>BR-1.6: chỉ gói SELLING; BR-1.13/BR-PAY-12: mỗi member tối đa một invoice PENDING cho cùng gói và tái sử dụng invoice còn hạn. Mã invoice do server sinh duy nhất theo BR-PAY-01; timeout mặc định 15 phút theo BR-3.4.</t>
        </is>
      </c>
      <c r="N53" s="62" t="inlineStr">
        <is>
          <t>Review</t>
        </is>
      </c>
      <c r="O53" s="63" t="inlineStr">
        <is>
          <t>feature/f3-sepay-online-payment (PR #3)</t>
        </is>
      </c>
    </row>
    <row r="54" ht="87" customHeight="1" s="47">
      <c r="A54" s="60" t="n">
        <v>50</v>
      </c>
      <c r="B54" s="61" t="inlineStr">
        <is>
          <t>Flow 1 – User &amp; Membership</t>
        </is>
      </c>
      <c r="C54" s="60" t="inlineStr">
        <is>
          <t>UC-UM-10</t>
        </is>
      </c>
      <c r="D54" s="61" t="inlineStr">
        <is>
          <t>Job nhắc gia hạn: job định kỳ tìm membership sắp hết hạn và tạo thông báo nhắc gia hạn theo số ngày được cấu hình. Bổ sung: cùng job chuyển membership quá hạn sang EXPIRED và gửi thông báo "gói đã hết hạn" kèm nút gia hạn.</t>
        </is>
      </c>
      <c r="E54" s="61" t="inlineStr">
        <is>
          <t>System job</t>
        </is>
      </c>
      <c r="F54" s="60" t="n">
        <v>50</v>
      </c>
      <c r="G54" s="60" t="inlineStr">
        <is>
          <t>Medium</t>
        </is>
      </c>
      <c r="H54" s="60" t="inlineStr">
        <is>
          <t>Bảo</t>
        </is>
      </c>
      <c r="I54" s="60" t="inlineStr">
        <is>
          <t>—</t>
        </is>
      </c>
      <c r="J54" s="60" t="inlineStr">
        <is>
          <t>Sprint 3</t>
        </is>
      </c>
      <c r="K54" s="61" t="inlineStr">
        <is>
          <t>20/10 → 02/11</t>
        </is>
      </c>
      <c r="L54" s="61" t="inlineStr">
        <is>
          <t>MEMBERSHIP, NOTIFICATION</t>
        </is>
      </c>
      <c r="M54" s="61" t="inlineStr">
        <is>
          <t>Số ngày nhắc lấy từ cấu hình. Mỗi membership chỉ được nhắc một lần; bỏ qua nếu hội viên đã gia hạn hoặc gói đã hết hạn theo BR-1.11. Job chạy theo ngày lịch và múi giờ Việt Nam, có log để chống gửi trùng.</t>
        </is>
      </c>
      <c r="N54" s="62" t="inlineStr">
        <is>
          <t>To Do</t>
        </is>
      </c>
      <c r="O54" s="63" t="inlineStr">
        <is>
          <t>sprint-3/be-bao</t>
        </is>
      </c>
    </row>
    <row r="55" ht="60" customHeight="1" s="47">
      <c r="A55" s="60" t="n">
        <v>51</v>
      </c>
      <c r="B55" s="61" t="inlineStr">
        <is>
          <t>Flow 1 – User &amp; Membership</t>
        </is>
      </c>
      <c r="C55" s="60" t="inlineStr">
        <is>
          <t>UC-UM-15</t>
        </is>
      </c>
      <c r="D55" s="61" t="inlineStr">
        <is>
          <t>Xem nhật ký thao tác (màn S28): Manager tra cứu các thao tác quan trọng theo người thực hiện, thời gian, đối tượng và nội dung thay đổi.</t>
        </is>
      </c>
      <c r="E55" s="61" t="inlineStr">
        <is>
          <t>Center Manager</t>
        </is>
      </c>
      <c r="F55" s="60" t="n">
        <v>51</v>
      </c>
      <c r="G55" s="60" t="inlineStr">
        <is>
          <t>Simple</t>
        </is>
      </c>
      <c r="H55" s="60" t="inlineStr">
        <is>
          <t>Khải</t>
        </is>
      </c>
      <c r="I55" s="60" t="inlineStr">
        <is>
          <t>Khải</t>
        </is>
      </c>
      <c r="J55" s="60" t="inlineStr">
        <is>
          <t>Sprint 3</t>
        </is>
      </c>
      <c r="K55" s="61" t="inlineStr">
        <is>
          <t>20/10 → 02/11</t>
        </is>
      </c>
      <c r="L55" s="61" t="inlineStr">
        <is>
          <t>AUDIT_LOG*, USER</t>
        </is>
      </c>
      <c r="M55" s="61" t="inlineStr">
        <is>
          <t>Manager tra cứu người thực hiện, thời điểm, đối tượng và nội dung thay đổi; audit log chỉ đọc. BR-0.2 yêu cầu ghi tạo/sửa/xoá mềm/đổi role/khoá/thu tiền/hoàn tiền/đổi cấu hình; audit log không bao giờ xoá theo BR-0.1.</t>
        </is>
      </c>
      <c r="N55" s="62" t="inlineStr">
        <is>
          <t>To Do</t>
        </is>
      </c>
      <c r="O55" s="63" t="inlineStr">
        <is>
          <t>sprint-3/fe-khai</t>
        </is>
      </c>
    </row>
    <row r="56" ht="60" customHeight="1" s="47">
      <c r="A56" s="68" t="n">
        <v>52</v>
      </c>
      <c r="B56" s="69" t="inlineStr">
        <is>
          <t>Flow 2 – Class Booking &amp; Schedule</t>
        </is>
      </c>
      <c r="C56" s="68" t="inlineStr">
        <is>
          <t>UC-CB-18</t>
        </is>
      </c>
      <c r="D56" s="69" t="inlineStr">
        <is>
          <t>Đổi giờ một buổi (màn S26): Manager đổi thời gian của một buổi chưa diễn ra; hệ thống kiểm tra xung đột và thông báo cho hội viên đang đăng ký.</t>
        </is>
      </c>
      <c r="E56" s="69" t="inlineStr">
        <is>
          <t>Center Manager</t>
        </is>
      </c>
      <c r="F56" s="68" t="n">
        <v>52</v>
      </c>
      <c r="G56" s="68" t="inlineStr">
        <is>
          <t>Medium</t>
        </is>
      </c>
      <c r="H56" s="68" t="inlineStr">
        <is>
          <t>Bảo</t>
        </is>
      </c>
      <c r="I56" s="68" t="inlineStr">
        <is>
          <t>Khôi</t>
        </is>
      </c>
      <c r="J56" s="68" t="inlineStr">
        <is>
          <t>Sprint 3</t>
        </is>
      </c>
      <c r="K56" s="69" t="inlineStr">
        <is>
          <t>20/10 → 02/11</t>
        </is>
      </c>
      <c r="L56" s="69" t="inlineStr">
        <is>
          <t>CLASS_SESSION, ENROLLMENT, NOTIFICATION</t>
        </is>
      </c>
      <c r="M56" s="69" t="inlineStr">
        <is>
          <t>Chỉ đổi buổi chưa diễn ra; lịch mới không trùng coach/phòng theo BR-2.4/2.8. Hội viên đang đăng ký nhận thông báo; nếu phát sinh trùng với booking khác thì chỉ cảnh báo và cho tự huỷ miễn phí, không tự huỷ theo BR-2.7/2.15.</t>
        </is>
      </c>
      <c r="N56" s="70" t="inlineStr">
        <is>
          <t>To Do</t>
        </is>
      </c>
      <c r="O56" s="71" t="inlineStr">
        <is>
          <t>sprint-3/be-bao, sprint-3/fe-khoi</t>
        </is>
      </c>
    </row>
    <row r="57" ht="60" customHeight="1" s="47">
      <c r="A57" s="68" t="n">
        <v>53</v>
      </c>
      <c r="B57" s="69" t="inlineStr">
        <is>
          <t>Flow 2 – Class Booking &amp; Schedule</t>
        </is>
      </c>
      <c r="C57" s="68" t="inlineStr">
        <is>
          <t>UC-CB-18</t>
        </is>
      </c>
      <c r="D57" s="69" t="inlineStr">
        <is>
          <t>Huỷ một buổi (màn S26): Manager/job huỷ một buổi chưa diễn ra, giữ lại lịch sử, ngăn điểm danh và thông báo cho hội viên bị ảnh hưởng.</t>
        </is>
      </c>
      <c r="E57" s="69" t="inlineStr">
        <is>
          <t>Center Manager</t>
        </is>
      </c>
      <c r="F57" s="68" t="n">
        <v>53</v>
      </c>
      <c r="G57" s="68" t="inlineStr">
        <is>
          <t>Medium</t>
        </is>
      </c>
      <c r="H57" s="68" t="inlineStr">
        <is>
          <t>Bảo</t>
        </is>
      </c>
      <c r="I57" s="68" t="inlineStr">
        <is>
          <t>Khôi</t>
        </is>
      </c>
      <c r="J57" s="68" t="inlineStr">
        <is>
          <t>Sprint 3</t>
        </is>
      </c>
      <c r="K57" s="69" t="inlineStr">
        <is>
          <t>20/10 → 02/11</t>
        </is>
      </c>
      <c r="L57" s="69" t="inlineStr">
        <is>
          <t>CLASS_SESSION, ENROLLMENT, NOTIFICATION</t>
        </is>
      </c>
      <c r="M57" s="69" t="inlineStr">
        <is>
          <t>Chuyển buổi sang CANCELLED nhưng giữ bản ghi lịch sử và không cho điểm danh. Gửi một thông báo cho tất cả hội viên đang đăng ký; không xoá cứng theo BR-0.1 và không gửi trùng theo BR-2.7.</t>
        </is>
      </c>
      <c r="N57" s="70" t="inlineStr">
        <is>
          <t>To Do</t>
        </is>
      </c>
      <c r="O57" s="71" t="inlineStr">
        <is>
          <t>sprint-3/be-bao, sprint-3/fe-khoi</t>
        </is>
      </c>
    </row>
    <row r="58" ht="60" customHeight="1" s="47">
      <c r="A58" s="64" t="n">
        <v>54</v>
      </c>
      <c r="B58" s="65" t="inlineStr">
        <is>
          <t>Flow 3 – Payment &amp; Report</t>
        </is>
      </c>
      <c r="C58" s="64" t="inlineStr">
        <is>
          <t>UC-PAY-01</t>
        </is>
      </c>
      <c r="D58" s="65" t="inlineStr">
        <is>
          <t>Màn QR và theo dõi trạng thái (màn 15): Member xem QR, nội dung chuyển khoản, trạng thái và đồng hồ hết hạn của hoá đơn online.</t>
        </is>
      </c>
      <c r="E58" s="65" t="inlineStr">
        <is>
          <t>Member</t>
        </is>
      </c>
      <c r="F58" s="64" t="n">
        <v>54</v>
      </c>
      <c r="G58" s="64" t="inlineStr">
        <is>
          <t>Medium</t>
        </is>
      </c>
      <c r="H58" s="64" t="inlineStr">
        <is>
          <t>Nhanh</t>
        </is>
      </c>
      <c r="I58" s="64" t="inlineStr">
        <is>
          <t>Nhanh</t>
        </is>
      </c>
      <c r="J58" s="64" t="inlineStr">
        <is>
          <t>Sprint 3</t>
        </is>
      </c>
      <c r="K58" s="65" t="inlineStr">
        <is>
          <t>20/10 → 02/11</t>
        </is>
      </c>
      <c r="L58" s="65" t="inlineStr">
        <is>
          <t>INVOICE, SYSTEM_SETTING*</t>
        </is>
      </c>
      <c r="M58" s="65" t="inlineStr">
        <is>
          <t>Nội dung chuyển khoản phải chứa mã invoice theo BR-3.3; trạng thái theo BR-3.1 và timeout lấy từ cấu hình. Chỉ chủ invoice được xem/huỷ khi còn PENDING; hết hạn thì chờ job chuyển FAILED.</t>
        </is>
      </c>
      <c r="N58" s="66" t="inlineStr">
        <is>
          <t>Review</t>
        </is>
      </c>
      <c r="O58" s="67" t="inlineStr">
        <is>
          <t>feature/f3-sepay-online-payment (PR #3)</t>
        </is>
      </c>
    </row>
    <row r="59" ht="60" customHeight="1" s="47">
      <c r="A59" s="64" t="n">
        <v>55</v>
      </c>
      <c r="B59" s="65" t="inlineStr">
        <is>
          <t>Flow 3 – Payment &amp; Report</t>
        </is>
      </c>
      <c r="C59" s="64" t="inlineStr">
        <is>
          <t>UC-PAY-02</t>
        </is>
      </c>
      <c r="D59" s="65" t="inlineStr">
        <is>
          <t>Xử lý webhook SePay: backend nhận giao dịch, xác thực chữ ký/API key, bóc mã hoá đơn, kiểm tra số tiền và cập nhật payment/invoice một cách idempotent.</t>
        </is>
      </c>
      <c r="E59" s="65" t="inlineStr">
        <is>
          <t>SePay / System</t>
        </is>
      </c>
      <c r="F59" s="64" t="n">
        <v>55</v>
      </c>
      <c r="G59" s="64" t="inlineStr">
        <is>
          <t>Medium</t>
        </is>
      </c>
      <c r="H59" s="64" t="inlineStr">
        <is>
          <t>Nhanh</t>
        </is>
      </c>
      <c r="I59" s="64" t="inlineStr">
        <is>
          <t>—</t>
        </is>
      </c>
      <c r="J59" s="64" t="inlineStr">
        <is>
          <t>Sprint 3</t>
        </is>
      </c>
      <c r="K59" s="65" t="inlineStr">
        <is>
          <t>20/10 → 02/11</t>
        </is>
      </c>
      <c r="L59" s="65" t="inlineStr">
        <is>
          <t>PAYMENT_WEBHOOK_LOG*, INVOICE, PAYMENT, MEMBERSHIP</t>
        </is>
      </c>
      <c r="M59" s="65" t="inlineStr">
        <is>
          <t>Phải xác thực Authorization bằng SEPAY_WEBHOOK_API_KEY; bóc mã từ code, nếu rỗng thì dùng regex trên content. Chỉ transferType=in và số tiền khớp tuyệt đối mới PAID/kích hoạt; giao dịch trùng idempotent, lệch tiền hoặc invoice không hợp lệ vào hàng chờ; log raw đã che secret và chỉ trả 200 sau commit theo BR-PAY-02 đến BR-PAY-10.</t>
        </is>
      </c>
      <c r="N59" s="66" t="inlineStr">
        <is>
          <t>Review</t>
        </is>
      </c>
      <c r="O59" s="67" t="inlineStr">
        <is>
          <t>feature/f3-sepay-online-payment (PR #3)</t>
        </is>
      </c>
    </row>
    <row r="60" ht="60" customHeight="1" s="47">
      <c r="A60" s="64" t="n">
        <v>56</v>
      </c>
      <c r="B60" s="65" t="inlineStr">
        <is>
          <t>Flow 3 – Payment &amp; Report</t>
        </is>
      </c>
      <c r="C60" s="64" t="inlineStr">
        <is>
          <t>UC-PAY-04</t>
        </is>
      </c>
      <c r="D60" s="65" t="inlineStr">
        <is>
          <t>Job hết hạn hoá đơn: job định kỳ tìm hoá đơn online PENDING quá thời gian chờ và chuyển sang FAILED nếu trạng thái vẫn còn PENDING.</t>
        </is>
      </c>
      <c r="E60" s="65" t="inlineStr">
        <is>
          <t>System job</t>
        </is>
      </c>
      <c r="F60" s="64" t="n">
        <v>56</v>
      </c>
      <c r="G60" s="64" t="inlineStr">
        <is>
          <t>Medium</t>
        </is>
      </c>
      <c r="H60" s="64" t="inlineStr">
        <is>
          <t>Nhanh</t>
        </is>
      </c>
      <c r="I60" s="64" t="inlineStr">
        <is>
          <t>—</t>
        </is>
      </c>
      <c r="J60" s="64" t="inlineStr">
        <is>
          <t>Sprint 3</t>
        </is>
      </c>
      <c r="K60" s="65" t="inlineStr">
        <is>
          <t>20/10 → 02/11</t>
        </is>
      </c>
      <c r="L60" s="65" t="inlineStr">
        <is>
          <t>INVOICE, NOTIFICATION</t>
        </is>
      </c>
      <c r="M60" s="65" t="inlineStr">
        <is>
          <t>Chỉ chuyển invoice PENDING quá timeout cấu hình, mặc định 15 phút, sang FAILED. Webhook đến sau hoặc chuyển lặp không bị nuốt mà vào hàng chờ với lý do LATE/ALREADY_PROCESSED theo BR-3.4/BR-PAY-08.</t>
        </is>
      </c>
      <c r="N60" s="66" t="inlineStr">
        <is>
          <t>To Do</t>
        </is>
      </c>
      <c r="O60" s="67" t="inlineStr">
        <is>
          <t>sprint-3/be-nhanh</t>
        </is>
      </c>
    </row>
    <row r="61" ht="100.5" customHeight="1" s="47">
      <c r="A61" s="64" t="n">
        <v>57</v>
      </c>
      <c r="B61" s="65" t="inlineStr">
        <is>
          <t>Flow 3 – Payment &amp; Report</t>
        </is>
      </c>
      <c r="C61" s="64" t="inlineStr">
        <is>
          <t>UC-PAY-05</t>
        </is>
      </c>
      <c r="D61" s="65" t="inlineStr">
        <is>
          <t>Xác nhận thanh toán thủ công (màn S29): Manager nhập mã tham chiếu và số tiền thực nhận để xác nhận khoản tiền ngoài webhook rồi cập nhật payment. Màn này là "Hàng chờ đối soát" chung cho mọi giao dịch SePay không tự khớp (xem #88–#94).</t>
        </is>
      </c>
      <c r="E61" s="65" t="inlineStr">
        <is>
          <t>Center Manager</t>
        </is>
      </c>
      <c r="F61" s="64" t="n">
        <v>57</v>
      </c>
      <c r="G61" s="64" t="inlineStr">
        <is>
          <t>Medium</t>
        </is>
      </c>
      <c r="H61" s="64" t="inlineStr">
        <is>
          <t>Nhanh</t>
        </is>
      </c>
      <c r="I61" s="64" t="inlineStr">
        <is>
          <t>Khải</t>
        </is>
      </c>
      <c r="J61" s="64" t="inlineStr">
        <is>
          <t>Sprint 3</t>
        </is>
      </c>
      <c r="K61" s="65" t="inlineStr">
        <is>
          <t>20/10 → 02/11</t>
        </is>
      </c>
      <c r="L61" s="65" t="inlineStr">
        <is>
          <t>PAYMENT_WEBHOOK_LOG*, INVOICE, PAYMENT</t>
        </is>
      </c>
      <c r="M61" s="65" t="inlineStr">
        <is>
          <t>Manager nhập mã tham chiếu và số tiền thực nhận; invoice phải ở trạng thái phù hợp và thao tác phải idempotent. Chỉ PAID mới kích hoạt/gia hạn; ghi lý do, người duyệt và audit; trạng thái đã đổi trả 409 theo BR-3.2/BR-PAY-07/13.</t>
        </is>
      </c>
      <c r="N61" s="66" t="inlineStr">
        <is>
          <t>To Do</t>
        </is>
      </c>
      <c r="O61" s="67" t="inlineStr">
        <is>
          <t>sprint-3/be-nhanh, sprint-3/fe-khai</t>
        </is>
      </c>
    </row>
    <row r="62" ht="60" customHeight="1" s="47">
      <c r="A62" s="64" t="n">
        <v>58</v>
      </c>
      <c r="B62" s="65" t="inlineStr">
        <is>
          <t>Flow 3 – Payment &amp; Report</t>
        </is>
      </c>
      <c r="C62" s="64" t="inlineStr">
        <is>
          <t>UC-PAY-08</t>
        </is>
      </c>
      <c r="D62" s="65" t="inlineStr">
        <is>
          <t>Lịch sử giao dịch (màn 18): hội viên hoặc nhân viên xem danh sách invoice/payment trong phạm vi quyền, trạng thái và khả năng tiếp tục thanh toán.</t>
        </is>
      </c>
      <c r="E62" s="65" t="inlineStr">
        <is>
          <t>Member / Receptionist / Center Manager</t>
        </is>
      </c>
      <c r="F62" s="64" t="n">
        <v>58</v>
      </c>
      <c r="G62" s="64" t="inlineStr">
        <is>
          <t>Simple</t>
        </is>
      </c>
      <c r="H62" s="64" t="inlineStr">
        <is>
          <t>Nhanh</t>
        </is>
      </c>
      <c r="I62" s="64" t="inlineStr">
        <is>
          <t>Khải</t>
        </is>
      </c>
      <c r="J62" s="64" t="inlineStr">
        <is>
          <t>Sprint 3</t>
        </is>
      </c>
      <c r="K62" s="65" t="inlineStr">
        <is>
          <t>20/10 → 02/11</t>
        </is>
      </c>
      <c r="L62" s="65" t="inlineStr">
        <is>
          <t>INVOICE, PAYMENT</t>
        </is>
      </c>
      <c r="M62" s="65" t="inlineStr">
        <is>
          <t>Member chỉ thấy giao dịch của mình; nhân viên chỉ thấy phạm vi được cấp. Invoice PENDING còn hạn có nút tiếp tục thanh toán; không xoá lịch sử trạng thái và payment, kể cả FAILED/REFUNDED.</t>
        </is>
      </c>
      <c r="N62" s="66" t="inlineStr">
        <is>
          <t>To Do</t>
        </is>
      </c>
      <c r="O62" s="67" t="inlineStr">
        <is>
          <t>sprint-3/be-nhanh, sprint-3/fe-khai</t>
        </is>
      </c>
    </row>
    <row r="63" ht="60" customHeight="1" s="47">
      <c r="A63" s="64" t="n">
        <v>59</v>
      </c>
      <c r="B63" s="65" t="inlineStr">
        <is>
          <t>Flow 3 – Payment &amp; Report</t>
        </is>
      </c>
      <c r="C63" s="64" t="inlineStr">
        <is>
          <t>UC-PAY-09</t>
        </is>
      </c>
      <c r="D63" s="65" t="inlineStr">
        <is>
          <t>Hoàn tiền (màn S30): Manager chọn giao dịch đủ điều kiện, nhập lý do và mã tham chiếu rồi chuyển trạng thái hoàn tiền và cập nhật membership liên quan.</t>
        </is>
      </c>
      <c r="E63" s="65" t="inlineStr">
        <is>
          <t>Center Manager</t>
        </is>
      </c>
      <c r="F63" s="64" t="n">
        <v>59</v>
      </c>
      <c r="G63" s="64" t="inlineStr">
        <is>
          <t>Medium</t>
        </is>
      </c>
      <c r="H63" s="64" t="inlineStr">
        <is>
          <t>Nhanh</t>
        </is>
      </c>
      <c r="I63" s="64" t="inlineStr">
        <is>
          <t>Khôi</t>
        </is>
      </c>
      <c r="J63" s="64" t="inlineStr">
        <is>
          <t>Sprint 3</t>
        </is>
      </c>
      <c r="K63" s="65" t="inlineStr">
        <is>
          <t>20/10 → 02/11</t>
        </is>
      </c>
      <c r="L63" s="65" t="inlineStr">
        <is>
          <t>INVOICE, PAYMENT, MEMBERSHIP, AUDIT_LOG*</t>
        </is>
      </c>
      <c r="M63" s="65" t="inlineStr">
        <is>
          <t>Chỉ Manager được hoàn tiền cho invoice PAID, phải nhập lý do và mã tham chiếu. Chuyển PAID -&gt; REFUNDED, số hoàn không vượt số đã nhận; tiền được trả thủ công ngoài hệ thống, membership liên quan được cập nhật và mọi thay đổi ghi audit theo BR-PAY-13/BR-0.2.</t>
        </is>
      </c>
      <c r="N63" s="66" t="inlineStr">
        <is>
          <t>To Do</t>
        </is>
      </c>
      <c r="O63" s="67" t="inlineStr">
        <is>
          <t>sprint-3/be-nhanh, sprint-3/fe-khoi</t>
        </is>
      </c>
    </row>
    <row r="64" ht="60" customHeight="1" s="47">
      <c r="A64" s="64" t="n">
        <v>60</v>
      </c>
      <c r="B64" s="65" t="inlineStr">
        <is>
          <t>Flow 3 – Payment &amp; Report</t>
        </is>
      </c>
      <c r="C64" s="64" t="inlineStr">
        <is>
          <t>UC-RPT-01</t>
        </is>
      </c>
      <c r="D64" s="65" t="inlineStr">
        <is>
          <t>Dashboard báo cáo (màn 17): Manager xem doanh thu, payment, membership và lớp theo bộ lọc; hệ thống tổng hợp dữ liệu đã thanh toán và hoàn tiền.</t>
        </is>
      </c>
      <c r="E64" s="65" t="inlineStr">
        <is>
          <t>Center Manager</t>
        </is>
      </c>
      <c r="F64" s="64" t="n">
        <v>60</v>
      </c>
      <c r="G64" s="64" t="inlineStr">
        <is>
          <t>Medium</t>
        </is>
      </c>
      <c r="H64" s="64" t="inlineStr">
        <is>
          <t>Bảo</t>
        </is>
      </c>
      <c r="I64" s="64" t="inlineStr">
        <is>
          <t>Khôi</t>
        </is>
      </c>
      <c r="J64" s="64" t="inlineStr">
        <is>
          <t>Sprint 3</t>
        </is>
      </c>
      <c r="K64" s="65" t="inlineStr">
        <is>
          <t>20/10 → 02/11</t>
        </is>
      </c>
      <c r="L64" s="65" t="inlineStr">
        <is>
          <t>INVOICE, PAYMENT, MEMBERSHIP, CLASS, ENROLLMENT</t>
        </is>
      </c>
      <c r="M64" s="65" t="inlineStr">
        <is>
          <t>Chỉ permission report.view; doanh thu tính theo thời điểm PAID, trừ REFUNDED, không tính PENDING/FAILED và dùng ngày lịch Việt Nam theo BR-3.5/BR-0.3. Bộ lọc phải nhất quán giữa các chỉ số và không lộ dữ liệu ngoài quyền.</t>
        </is>
      </c>
      <c r="N64" s="66" t="inlineStr">
        <is>
          <t>To Do</t>
        </is>
      </c>
      <c r="O64" s="67" t="inlineStr">
        <is>
          <t>sprint-3/be-bao, sprint-3/fe-khoi</t>
        </is>
      </c>
    </row>
    <row r="65" ht="60" customHeight="1" s="47">
      <c r="A65" s="64" t="n">
        <v>61</v>
      </c>
      <c r="B65" s="65" t="inlineStr">
        <is>
          <t>Flow 3 – Payment &amp; Report</t>
        </is>
      </c>
      <c r="C65" s="64" t="inlineStr">
        <is>
          <t>UC-RPT-01</t>
        </is>
      </c>
      <c r="D65" s="65" t="inlineStr">
        <is>
          <t>Xuất tệp báo cáo (màn 17): Manager xuất PDF/CSV/Excel theo đúng bộ lọc đang xem, dùng cùng tập dữ liệu và công thức với dashboard.</t>
        </is>
      </c>
      <c r="E65" s="65" t="inlineStr">
        <is>
          <t>Center Manager</t>
        </is>
      </c>
      <c r="F65" s="64" t="n">
        <v>61</v>
      </c>
      <c r="G65" s="64" t="inlineStr">
        <is>
          <t>Medium</t>
        </is>
      </c>
      <c r="H65" s="64" t="inlineStr">
        <is>
          <t>Bảo</t>
        </is>
      </c>
      <c r="I65" s="64" t="inlineStr">
        <is>
          <t>Khôi</t>
        </is>
      </c>
      <c r="J65" s="64" t="inlineStr">
        <is>
          <t>Sprint 3</t>
        </is>
      </c>
      <c r="K65" s="65" t="inlineStr">
        <is>
          <t>20/10 → 02/11</t>
        </is>
      </c>
      <c r="L65" s="65" t="inlineStr">
        <is>
          <t>INVOICE, PAYMENT, MEMBERSHIP, CLASS, ENROLLMENT</t>
        </is>
      </c>
      <c r="M65" s="65" t="inlineStr">
        <is>
          <t>Chỉ permission report.view; tệp xuất phải dùng đúng tập dữ liệu, bộ lọc và công thức đang hiển thị trên dashboard. Không cho client tự sửa số tiền; việc xuất có thể được ghi audit theo chính sách.</t>
        </is>
      </c>
      <c r="N65" s="66" t="inlineStr">
        <is>
          <t>To Do</t>
        </is>
      </c>
      <c r="O65" s="67" t="inlineStr">
        <is>
          <t>sprint-3/be-bao, sprint-3/fe-khoi</t>
        </is>
      </c>
    </row>
    <row r="66" ht="100.5" customHeight="1" s="47">
      <c r="A66" s="72" t="n">
        <v>62</v>
      </c>
      <c r="B66" s="73" t="inlineStr">
        <is>
          <t>Flow 4 – Training &amp; Attendance</t>
        </is>
      </c>
      <c r="C66" s="72" t="inlineStr">
        <is>
          <t>UC-AT-01</t>
        </is>
      </c>
      <c r="D66" s="73" t="inlineStr">
        <is>
          <t>Check-in tại quầy: lễ tân tìm hội viên, xác nhận người đến trung tâm và ghi lại lượt check-in cùng cảnh báo về tài khoản/gói nếu cần. Kéo từ Sprint 4 xuống Sprint 3 để làm sâu Flow 1: check-in kiểm tra gói còn hạn, đang bảo lưu hay bị chặn.</t>
        </is>
      </c>
      <c r="E66" s="73" t="inlineStr">
        <is>
          <t>Receptionist</t>
        </is>
      </c>
      <c r="F66" s="72" t="n">
        <v>62</v>
      </c>
      <c r="G66" s="72" t="inlineStr">
        <is>
          <t>Medium</t>
        </is>
      </c>
      <c r="H66" s="72" t="inlineStr">
        <is>
          <t>Bảo</t>
        </is>
      </c>
      <c r="I66" s="72" t="inlineStr">
        <is>
          <t>Khải</t>
        </is>
      </c>
      <c r="J66" s="72" t="inlineStr">
        <is>
          <t>Sprint 3</t>
        </is>
      </c>
      <c r="K66" s="73" t="inlineStr">
        <is>
          <t>20/10 → 02/11</t>
        </is>
      </c>
      <c r="L66" s="73" t="inlineStr">
        <is>
          <t>USER, MEMBERSHIP, SESSION_ATTENDANCE</t>
        </is>
      </c>
      <c r="M66" s="73" t="inlineStr">
        <is>
          <t>Lễ tân xác nhận hội viên đến trung tâm và ghi lượt check-in. Tài khoản bị khoá không được vào; gói hết hạn có thể ghi lượt theo policy nhưng phải cảnh báo, không tự kích hoạt membership mới theo BR-1.5/1.9.</t>
        </is>
      </c>
      <c r="N66" s="74" t="inlineStr">
        <is>
          <t>To Do</t>
        </is>
      </c>
      <c r="O66" s="75" t="inlineStr">
        <is>
          <t>sprint-3/be-bao, sprint-3/fe-khai</t>
        </is>
      </c>
    </row>
    <row r="67" ht="87" customHeight="1" s="47">
      <c r="A67" s="72" t="n">
        <v>63</v>
      </c>
      <c r="B67" s="73" t="inlineStr">
        <is>
          <t>Flow 4 – Training &amp; Attendance</t>
        </is>
      </c>
      <c r="C67" s="72" t="inlineStr">
        <is>
          <t>UC-AT-02</t>
        </is>
      </c>
      <c r="D67" s="73" t="inlineStr">
        <is>
          <t>Điểm danh buổi học: coach mở một buổi học và ghi có mặt/vắng cho các hội viên đã đăng ký; hệ thống kiểm soát quyền và thời hạn sửa. Kéo từ Sprint 4 xuống Sprint 3 để làm sâu Flow 2: dữ liệu vắng mặt dùng cho luật chặn đăng ký (#107).</t>
        </is>
      </c>
      <c r="E67" s="73" t="inlineStr">
        <is>
          <t>Coach</t>
        </is>
      </c>
      <c r="F67" s="72" t="n">
        <v>63</v>
      </c>
      <c r="G67" s="72" t="inlineStr">
        <is>
          <t>Medium</t>
        </is>
      </c>
      <c r="H67" s="72" t="inlineStr">
        <is>
          <t>Bảo</t>
        </is>
      </c>
      <c r="I67" s="72" t="inlineStr">
        <is>
          <t>Khôi</t>
        </is>
      </c>
      <c r="J67" s="72" t="inlineStr">
        <is>
          <t>Sprint 3</t>
        </is>
      </c>
      <c r="K67" s="73" t="inlineStr">
        <is>
          <t>20/10 → 02/11</t>
        </is>
      </c>
      <c r="L67" s="73" t="inlineStr">
        <is>
          <t>CLASS_SESSION, ENROLLMENT, SESSION_ATTENDANCE</t>
        </is>
      </c>
      <c r="M67" s="73" t="inlineStr">
        <is>
          <t>Chỉ coach phụ trách hoặc Manager điểm danh cho hội viên đã đăng ký trong buổi chưa huỷ. Sửa chỉ trong thời hạn cho phép; quá hạn cần Manager mở quyền, không điểm danh người chưa đăng ký.</t>
        </is>
      </c>
      <c r="N67" s="74" t="inlineStr">
        <is>
          <t>To Do</t>
        </is>
      </c>
      <c r="O67" s="75" t="inlineStr">
        <is>
          <t>sprint-3/be-bao, sprint-3/fe-khoi</t>
        </is>
      </c>
    </row>
    <row r="68" ht="87" customHeight="1" s="47">
      <c r="A68" s="72" t="n">
        <v>64</v>
      </c>
      <c r="B68" s="73" t="inlineStr">
        <is>
          <t>Flow 4 – Training &amp; Attendance</t>
        </is>
      </c>
      <c r="C68" s="72" t="inlineStr">
        <is>
          <t>UC-AT-03</t>
        </is>
      </c>
      <c r="D68" s="73" t="inlineStr">
        <is>
          <t>Lịch sử điểm danh của tôi: người dùng xem các lượt điểm danh của chính mình theo thời gian, lớp và trạng thái có mặt/vắng. Kéo từ Sprint 4 xuống Sprint 3 (Khôi làm cả BE và FE vì là chức năng chỉ đọc).</t>
        </is>
      </c>
      <c r="E68" s="73" t="inlineStr">
        <is>
          <t>Member / Coach / Receptionist</t>
        </is>
      </c>
      <c r="F68" s="72" t="n">
        <v>64</v>
      </c>
      <c r="G68" s="72" t="inlineStr">
        <is>
          <t>Simple</t>
        </is>
      </c>
      <c r="H68" s="72" t="inlineStr">
        <is>
          <t>Khôi</t>
        </is>
      </c>
      <c r="I68" s="72" t="inlineStr">
        <is>
          <t>Khôi</t>
        </is>
      </c>
      <c r="J68" s="72" t="inlineStr">
        <is>
          <t>Sprint 3</t>
        </is>
      </c>
      <c r="K68" s="73" t="inlineStr">
        <is>
          <t>20/10 → 02/11</t>
        </is>
      </c>
      <c r="L68" s="73" t="inlineStr">
        <is>
          <t>SESSION_ATTENDANCE, CLASS_SESSION, USER</t>
        </is>
      </c>
      <c r="M68" s="73" t="inlineStr">
        <is>
          <t>Chỉ hiển thị attendance của chính người dùng theo ngày, lớp và trạng thái có mặt/vắng. Màn hình tra cứu không xoá/sửa lịch sử; bản ghi phải giữ liên kết đến buổi học và người thực hiện.</t>
        </is>
      </c>
      <c r="N68" s="74" t="inlineStr">
        <is>
          <t>To Do</t>
        </is>
      </c>
      <c r="O68" s="75" t="inlineStr">
        <is>
          <t>sprint-3/fe-khoi</t>
        </is>
      </c>
    </row>
    <row r="69" ht="60" customHeight="1" s="47">
      <c r="A69" s="72" t="n">
        <v>65</v>
      </c>
      <c r="B69" s="73" t="inlineStr">
        <is>
          <t>Flow 4 – Training &amp; Attendance</t>
        </is>
      </c>
      <c r="C69" s="72" t="inlineStr">
        <is>
          <t>UC-TR-01</t>
        </is>
      </c>
      <c r="D69" s="73" t="inlineStr">
        <is>
          <t>Tạo / sửa kế hoạch tập luyện: coach tạo kế hoạch cho học viên được phân công, gồm mục tiêu, bài tập, số lần/thời lượng và ghi chú.</t>
        </is>
      </c>
      <c r="E69" s="73" t="inlineStr">
        <is>
          <t>Coach</t>
        </is>
      </c>
      <c r="F69" s="72" t="n">
        <v>65</v>
      </c>
      <c r="G69" s="72" t="inlineStr">
        <is>
          <t>Medium</t>
        </is>
      </c>
      <c r="H69" s="72" t="inlineStr">
        <is>
          <t>Bảo</t>
        </is>
      </c>
      <c r="I69" s="72" t="inlineStr">
        <is>
          <t>Khôi</t>
        </is>
      </c>
      <c r="J69" s="72" t="inlineStr">
        <is>
          <t>Sprint 4</t>
        </is>
      </c>
      <c r="K69" s="73" t="inlineStr">
        <is>
          <t>03/11 → 16/11</t>
        </is>
      </c>
      <c r="L69" s="73" t="inlineStr">
        <is>
          <t>USER, TRAINING_PLAN</t>
        </is>
      </c>
      <c r="M69" s="73" t="inlineStr">
        <is>
          <t>Coach chỉ tạo/sửa kế hoạch cho học viên được phân công; phải có ít nhất một bài tập. Bài tập xung đột giới hạn sức khoẻ phải cảnh báo theo BR-AI-07; kế hoạch AI chưa qua schema check và coach duyệt thì chưa được công bố theo BR-AI-02.</t>
        </is>
      </c>
      <c r="N69" s="74" t="inlineStr">
        <is>
          <t>To Do</t>
        </is>
      </c>
      <c r="O69" s="75" t="inlineStr">
        <is>
          <t>sprint-4/be-bao, sprint-4/fe-khoi</t>
        </is>
      </c>
    </row>
    <row r="70" ht="60" customHeight="1" s="47">
      <c r="A70" s="72" t="n">
        <v>66</v>
      </c>
      <c r="B70" s="73" t="inlineStr">
        <is>
          <t>Flow 4 – Training &amp; Attendance</t>
        </is>
      </c>
      <c r="C70" s="72" t="inlineStr">
        <is>
          <t>UC-TR-02</t>
        </is>
      </c>
      <c r="D70" s="73" t="inlineStr">
        <is>
          <t>Ghi kết quả buổi tập: coach nhập kết quả thực tế của bài tập/buổi tập cho học viên đã tham gia, gồm chỉ số và nhận xét.</t>
        </is>
      </c>
      <c r="E70" s="73" t="inlineStr">
        <is>
          <t>Coach</t>
        </is>
      </c>
      <c r="F70" s="72" t="n">
        <v>66</v>
      </c>
      <c r="G70" s="72" t="inlineStr">
        <is>
          <t>Medium</t>
        </is>
      </c>
      <c r="H70" s="72" t="inlineStr">
        <is>
          <t>Bảo</t>
        </is>
      </c>
      <c r="I70" s="72" t="inlineStr">
        <is>
          <t>Khôi</t>
        </is>
      </c>
      <c r="J70" s="72" t="inlineStr">
        <is>
          <t>Sprint 4</t>
        </is>
      </c>
      <c r="K70" s="73" t="inlineStr">
        <is>
          <t>03/11 → 16/11</t>
        </is>
      </c>
      <c r="L70" s="73" t="inlineStr">
        <is>
          <t>TRAINING_PLAN, TRAINING_RESULT, SESSION_ATTENDANCE</t>
        </is>
      </c>
      <c r="M70" s="73" t="inlineStr">
        <is>
          <t>Chỉ ghi kết quả cho học viên đã có mặt; lưu chỉ số thực tế, thời lượng và nhận xét. Cho sửa trong thời hạn điểm danh, quá hạn cần Manager mở quyền; không sửa xoá lịch sử mà không audit.</t>
        </is>
      </c>
      <c r="N70" s="74" t="inlineStr">
        <is>
          <t>To Do</t>
        </is>
      </c>
      <c r="O70" s="75" t="inlineStr">
        <is>
          <t>sprint-4/be-bao, sprint-4/fe-khoi</t>
        </is>
      </c>
    </row>
    <row r="71" ht="46.5" customHeight="1" s="47">
      <c r="A71" s="72" t="n">
        <v>67</v>
      </c>
      <c r="B71" s="73" t="inlineStr">
        <is>
          <t>Flow 4 – Training &amp; Attendance</t>
        </is>
      </c>
      <c r="C71" s="72" t="inlineStr">
        <is>
          <t>UC-TR-03</t>
        </is>
      </c>
      <c r="D71" s="73" t="inlineStr">
        <is>
          <t>Xem kế hoạch và nhận xét: Member xem kế hoạch, kết quả và nhận xét đã được coach công bố cho chính mình.</t>
        </is>
      </c>
      <c r="E71" s="73" t="inlineStr">
        <is>
          <t>Member</t>
        </is>
      </c>
      <c r="F71" s="72" t="n">
        <v>67</v>
      </c>
      <c r="G71" s="72" t="inlineStr">
        <is>
          <t>Simple</t>
        </is>
      </c>
      <c r="H71" s="72" t="inlineStr">
        <is>
          <t>Bảo</t>
        </is>
      </c>
      <c r="I71" s="72" t="inlineStr">
        <is>
          <t>Khôi</t>
        </is>
      </c>
      <c r="J71" s="72" t="inlineStr">
        <is>
          <t>Sprint 4</t>
        </is>
      </c>
      <c r="K71" s="73" t="inlineStr">
        <is>
          <t>03/11 → 16/11</t>
        </is>
      </c>
      <c r="L71" s="73" t="inlineStr">
        <is>
          <t>TRAINING_PLAN, TRAINING_RESULT, USER</t>
        </is>
      </c>
      <c r="M71" s="73" t="inlineStr">
        <is>
          <t>Member chỉ xem kế hoạch, kết quả và nhận xét của chính mình sau khi coach công bố. Nội dung AI chưa qua kiểm tra cấu trúc và chưa được coach duyệt không hiển thị theo BR-AI-02.</t>
        </is>
      </c>
      <c r="N71" s="74" t="inlineStr">
        <is>
          <t>To Do</t>
        </is>
      </c>
      <c r="O71" s="75" t="inlineStr">
        <is>
          <t>sprint-4/be-bao, sprint-4/fe-khoi</t>
        </is>
      </c>
    </row>
    <row r="72" ht="60" customHeight="1" s="47">
      <c r="A72" s="72" t="n">
        <v>68</v>
      </c>
      <c r="B72" s="73" t="inlineStr">
        <is>
          <t>Flow 4 – Training &amp; Attendance</t>
        </is>
      </c>
      <c r="C72" s="72" t="inlineStr">
        <is>
          <t>UC-TR-03</t>
        </is>
      </c>
      <c r="D72" s="73" t="inlineStr">
        <is>
          <t>Đánh dấu hoàn thành bài tập: Member đánh dấu bài trong kế hoạch của mình đã hoàn thành; hệ thống lưu thời điểm và bài tương ứng.</t>
        </is>
      </c>
      <c r="E72" s="73" t="inlineStr">
        <is>
          <t>Member</t>
        </is>
      </c>
      <c r="F72" s="72" t="n">
        <v>68</v>
      </c>
      <c r="G72" s="72" t="inlineStr">
        <is>
          <t>Simple</t>
        </is>
      </c>
      <c r="H72" s="72" t="inlineStr">
        <is>
          <t>Bảo</t>
        </is>
      </c>
      <c r="I72" s="72" t="inlineStr">
        <is>
          <t>Khôi</t>
        </is>
      </c>
      <c r="J72" s="72" t="inlineStr">
        <is>
          <t>Sprint 4</t>
        </is>
      </c>
      <c r="K72" s="73" t="inlineStr">
        <is>
          <t>03/11 → 16/11</t>
        </is>
      </c>
      <c r="L72" s="73" t="inlineStr">
        <is>
          <t>TRAINING_PLAN, TRAINING_RESULT, USER</t>
        </is>
      </c>
      <c r="M72" s="73" t="inlineStr">
        <is>
          <t>Chỉ đánh dấu bài trong kế hoạch của chính mình; lưu thời điểm và trạng thái hoàn thành. Không thay thế kết quả do coach ghi; thao tác lặp lại phải an toàn và không tạo bản ghi trùng.</t>
        </is>
      </c>
      <c r="N72" s="74" t="inlineStr">
        <is>
          <t>To Do</t>
        </is>
      </c>
      <c r="O72" s="75" t="inlineStr">
        <is>
          <t>sprint-4/be-bao, sprint-4/fe-khoi</t>
        </is>
      </c>
    </row>
    <row r="73" ht="60" customHeight="1" s="47">
      <c r="A73" s="72" t="n">
        <v>69</v>
      </c>
      <c r="B73" s="73" t="inlineStr">
        <is>
          <t>Flow 4 – Training &amp; Attendance</t>
        </is>
      </c>
      <c r="C73" s="72" t="inlineStr">
        <is>
          <t>UC-TR-04</t>
        </is>
      </c>
      <c r="D73" s="73" t="inlineStr">
        <is>
          <t>Gửi bài tập / thông báo cho học viên: coach chọn học viên đang đăng ký, gửi bài tập/thông báo và theo dõi trạng thái gửi hoặc retry.</t>
        </is>
      </c>
      <c r="E73" s="73" t="inlineStr">
        <is>
          <t>Coach</t>
        </is>
      </c>
      <c r="F73" s="72" t="n">
        <v>69</v>
      </c>
      <c r="G73" s="72" t="inlineStr">
        <is>
          <t>Medium</t>
        </is>
      </c>
      <c r="H73" s="72" t="inlineStr">
        <is>
          <t>Bảo</t>
        </is>
      </c>
      <c r="I73" s="72" t="inlineStr">
        <is>
          <t>Khôi</t>
        </is>
      </c>
      <c r="J73" s="72" t="inlineStr">
        <is>
          <t>Sprint 4</t>
        </is>
      </c>
      <c r="K73" s="73" t="inlineStr">
        <is>
          <t>03/11 → 16/11</t>
        </is>
      </c>
      <c r="L73" s="73" t="inlineStr">
        <is>
          <t>TRAINING_PLAN, NOTIFICATION</t>
        </is>
      </c>
      <c r="M73" s="73" t="inlineStr">
        <is>
          <t>Chỉ gửi cho học viên đang đăng ký và trong phạm vi coach phụ trách; áp dụng giới hạn số lần gửi/ngày. Lỗi gửi vào retry queue, không tạo thông báo trùng; nội dung AI phải được duyệt trước khi gửi.</t>
        </is>
      </c>
      <c r="N73" s="74" t="inlineStr">
        <is>
          <t>To Do</t>
        </is>
      </c>
      <c r="O73" s="75" t="inlineStr">
        <is>
          <t>sprint-4/be-bao, sprint-4/fe-khoi</t>
        </is>
      </c>
    </row>
    <row r="74" ht="60" customHeight="1" s="47">
      <c r="A74" s="76" t="n">
        <v>70</v>
      </c>
      <c r="B74" s="77" t="inlineStr">
        <is>
          <t>Flow 5, 6 – AI</t>
        </is>
      </c>
      <c r="C74" s="76" t="inlineStr">
        <is>
          <t>UC-AI-01</t>
        </is>
      </c>
      <c r="D74" s="77" t="inlineStr">
        <is>
          <t>AI sinh bản nháp bài tập (màn S32): coach yêu cầu AI tạo bản nháp dựa trên mục tiêu, trình độ, sức khoẻ và bộ môn của học viên để coach xem xét.</t>
        </is>
      </c>
      <c r="E74" s="77" t="inlineStr">
        <is>
          <t>Coach / System AI</t>
        </is>
      </c>
      <c r="F74" s="76" t="n">
        <v>70</v>
      </c>
      <c r="G74" s="76" t="inlineStr">
        <is>
          <t>Complex</t>
        </is>
      </c>
      <c r="H74" s="76" t="inlineStr">
        <is>
          <t>Nhanh</t>
        </is>
      </c>
      <c r="I74" s="76" t="inlineStr">
        <is>
          <t>Khôi</t>
        </is>
      </c>
      <c r="J74" s="76" t="inlineStr">
        <is>
          <t>Sprint 4</t>
        </is>
      </c>
      <c r="K74" s="77" t="inlineStr">
        <is>
          <t>03/11 → 16/11</t>
        </is>
      </c>
      <c r="L74" s="77" t="inlineStr">
        <is>
          <t>AI_SUGGESTION, AI_CONFIG, USER, TRAINING_PLAN, AI_CALL_LOG</t>
        </is>
      </c>
      <c r="M74" s="77" t="inlineStr">
        <is>
          <t>BR-AI-03: chỉ gửi mã học viên và số liệu tập luyện, không gửi tên/SĐT/email. BR-AI-02: kiểm tra đúng schema và coach phải duyệt; BR-AI-05: không vượt ngân sách; BR-AI-04: model lỗi thì thử dự phòng đúng một lần; BR-AI-07: bài tập thuộc bộ môn trung tâm.</t>
        </is>
      </c>
      <c r="N74" s="78" t="inlineStr">
        <is>
          <t>To Do</t>
        </is>
      </c>
      <c r="O74" s="79" t="inlineStr">
        <is>
          <t>sprint-4/be-nhanh, sprint-4/fe-khoi</t>
        </is>
      </c>
    </row>
    <row r="75" ht="60" customHeight="1" s="47">
      <c r="A75" s="76" t="n">
        <v>71</v>
      </c>
      <c r="B75" s="77" t="inlineStr">
        <is>
          <t>Flow 5, 6 – AI</t>
        </is>
      </c>
      <c r="C75" s="76" t="inlineStr">
        <is>
          <t>UC-AI-01</t>
        </is>
      </c>
      <c r="D75" s="77" t="inlineStr">
        <is>
          <t>Sửa / duyệt bản nháp (màn S32): coach chỉnh sửa, duyệt hoặc từ chối bản nháp; chỉ bản được duyệt mới trở thành kế hoạch hiển thị cho học viên.</t>
        </is>
      </c>
      <c r="E75" s="77" t="inlineStr">
        <is>
          <t>Coach / System AI</t>
        </is>
      </c>
      <c r="F75" s="76" t="n">
        <v>71</v>
      </c>
      <c r="G75" s="76" t="inlineStr">
        <is>
          <t>Medium</t>
        </is>
      </c>
      <c r="H75" s="76" t="inlineStr">
        <is>
          <t>Nhanh</t>
        </is>
      </c>
      <c r="I75" s="76" t="inlineStr">
        <is>
          <t>Khôi</t>
        </is>
      </c>
      <c r="J75" s="76" t="inlineStr">
        <is>
          <t>Sprint 4</t>
        </is>
      </c>
      <c r="K75" s="77" t="inlineStr">
        <is>
          <t>03/11 → 16/11</t>
        </is>
      </c>
      <c r="L75" s="77" t="inlineStr">
        <is>
          <t>AI_SUGGESTION, AI_CONFIG, USER, TRAINING_PLAN, AI_CALL_LOG</t>
        </is>
      </c>
      <c r="M75" s="77" t="inlineStr">
        <is>
          <t>Coach chỉnh sửa, duyệt hoặc từ chối bản nháp; chỉ bản APPROVED mới thành training plan và hiển thị cho học viên theo BR-AI-02. Bản từ chối vẫn giữ trạng thái/lý do để đánh giá model; chỉ coach phụ trách được thao tác.</t>
        </is>
      </c>
      <c r="N75" s="78" t="inlineStr">
        <is>
          <t>To Do</t>
        </is>
      </c>
      <c r="O75" s="79" t="inlineStr">
        <is>
          <t>sprint-4/be-nhanh, sprint-4/fe-khoi</t>
        </is>
      </c>
    </row>
    <row r="76" ht="60" customHeight="1" s="47">
      <c r="A76" s="76" t="n">
        <v>72</v>
      </c>
      <c r="B76" s="77" t="inlineStr">
        <is>
          <t>Flow 5, 6 – AI</t>
        </is>
      </c>
      <c r="C76" s="76" t="inlineStr">
        <is>
          <t>UC-AI-02</t>
        </is>
      </c>
      <c r="D76" s="77" t="inlineStr">
        <is>
          <t>Đánh giá tiến độ học viên (màn S32): hệ thống/coach dùng các training result đã có để tạo đánh giá tiến độ, hoặc giải thích vì sao chưa đủ dữ liệu.</t>
        </is>
      </c>
      <c r="E76" s="77" t="inlineStr">
        <is>
          <t>Coach / System AI</t>
        </is>
      </c>
      <c r="F76" s="76" t="n">
        <v>72</v>
      </c>
      <c r="G76" s="76" t="inlineStr">
        <is>
          <t>Complex</t>
        </is>
      </c>
      <c r="H76" s="76" t="inlineStr">
        <is>
          <t>Nhanh</t>
        </is>
      </c>
      <c r="I76" s="76" t="inlineStr">
        <is>
          <t>Khôi</t>
        </is>
      </c>
      <c r="J76" s="76" t="inlineStr">
        <is>
          <t>Sprint 4</t>
        </is>
      </c>
      <c r="K76" s="77" t="inlineStr">
        <is>
          <t>03/11 → 16/11</t>
        </is>
      </c>
      <c r="L76" s="77" t="inlineStr">
        <is>
          <t>AI_SUGGESTION, AI_CONFIG, USER, TRAINING_RESULT, AI_CALL_LOG</t>
        </is>
      </c>
      <c r="M76" s="77" t="inlineStr">
        <is>
          <t>Nếu thiếu training result thì giải thích và không gọi AI. Khi đủ dữ liệu, áp dụng ẩn danh PII, kiểm tra schema/duyệt, giới hạn ngân sách và fallback như BR-AI-02/03/04/05; đây là chức năng optional nếu kịp.</t>
        </is>
      </c>
      <c r="N76" s="78" t="inlineStr">
        <is>
          <t>To Do</t>
        </is>
      </c>
      <c r="O76" s="79" t="inlineStr">
        <is>
          <t>sprint-4/be-nhanh, sprint-4/fe-khoi</t>
        </is>
      </c>
    </row>
    <row r="77" ht="60" customHeight="1" s="47">
      <c r="A77" s="76" t="n">
        <v>73</v>
      </c>
      <c r="B77" s="77" t="inlineStr">
        <is>
          <t>Flow 5, 6 – AI</t>
        </is>
      </c>
      <c r="C77" s="76" t="inlineStr">
        <is>
          <t>UC-AI-04</t>
        </is>
      </c>
      <c r="D77" s="77" t="inlineStr">
        <is>
          <t>Quản lý nhà cung cấp và model AI (màn S31): Manager cấu hình provider, API key, model và trạng thái bật/tắt; hệ thống kiểm tra kết nối trước khi sử dụng.</t>
        </is>
      </c>
      <c r="E77" s="77" t="inlineStr">
        <is>
          <t>Center Manager</t>
        </is>
      </c>
      <c r="F77" s="76" t="n">
        <v>73</v>
      </c>
      <c r="G77" s="76" t="inlineStr">
        <is>
          <t>Medium</t>
        </is>
      </c>
      <c r="H77" s="76" t="inlineStr">
        <is>
          <t>Nhanh</t>
        </is>
      </c>
      <c r="I77" s="76" t="inlineStr">
        <is>
          <t>Khôi</t>
        </is>
      </c>
      <c r="J77" s="76" t="inlineStr">
        <is>
          <t>Sprint 4</t>
        </is>
      </c>
      <c r="K77" s="77" t="inlineStr">
        <is>
          <t>03/11 → 16/11</t>
        </is>
      </c>
      <c r="L77" s="77" t="inlineStr">
        <is>
          <t>AI_CONFIG, AI_CALL_LOG</t>
        </is>
      </c>
      <c r="M77" s="77" t="inlineStr">
        <is>
          <t>BR-AI-01: API key chỉ ở server, giao diện/log chỉ hiện bốn ký tự cuối, trình duyệt không gọi trực tiếp provider. Kiểm tra kết nối thành công mới bật; không tắt provider đang được tính năng dùng; mọi thay đổi ghi audit.</t>
        </is>
      </c>
      <c r="N77" s="78" t="inlineStr">
        <is>
          <t>To Do</t>
        </is>
      </c>
      <c r="O77" s="79" t="inlineStr">
        <is>
          <t>sprint-4/be-nhanh, sprint-4/fe-khoi</t>
        </is>
      </c>
    </row>
    <row r="78" ht="60" customHeight="1" s="47">
      <c r="A78" s="76" t="n">
        <v>74</v>
      </c>
      <c r="B78" s="77" t="inlineStr">
        <is>
          <t>Flow 5, 6 – AI</t>
        </is>
      </c>
      <c r="C78" s="76" t="inlineStr">
        <is>
          <t>UC-AI-05</t>
        </is>
      </c>
      <c r="D78" s="77" t="inlineStr">
        <is>
          <t>Gán model và prompt cho tính năng (màn S31): Manager gán model chính, model dự phòng, prompt và tham số cho từng tính năng AI.</t>
        </is>
      </c>
      <c r="E78" s="77" t="inlineStr">
        <is>
          <t>Center Manager</t>
        </is>
      </c>
      <c r="F78" s="76" t="n">
        <v>74</v>
      </c>
      <c r="G78" s="76" t="inlineStr">
        <is>
          <t>Medium</t>
        </is>
      </c>
      <c r="H78" s="76" t="inlineStr">
        <is>
          <t>Nhanh</t>
        </is>
      </c>
      <c r="I78" s="76" t="inlineStr">
        <is>
          <t>Khôi</t>
        </is>
      </c>
      <c r="J78" s="76" t="inlineStr">
        <is>
          <t>Sprint 4</t>
        </is>
      </c>
      <c r="K78" s="77" t="inlineStr">
        <is>
          <t>03/11 → 16/11</t>
        </is>
      </c>
      <c r="L78" s="77" t="inlineStr">
        <is>
          <t>AI_CONFIG</t>
        </is>
      </c>
      <c r="M78" s="77" t="inlineStr">
        <is>
          <t>Mỗi tính năng có đúng một model chính; provider/model phải đang bật và model chính không trùng model dự phòng. Prompt, model và tham số mới có hiệu lực từ lần gọi kế tiếp, không cần restart; ghi audit theo BR-AI-06.</t>
        </is>
      </c>
      <c r="N78" s="78" t="inlineStr">
        <is>
          <t>To Do</t>
        </is>
      </c>
      <c r="O78" s="79" t="inlineStr">
        <is>
          <t>sprint-4/be-nhanh, sprint-4/fe-khoi</t>
        </is>
      </c>
    </row>
    <row r="79" ht="60" customHeight="1" s="47">
      <c r="A79" s="76" t="n">
        <v>75</v>
      </c>
      <c r="B79" s="77" t="inlineStr">
        <is>
          <t>Flow 5, 6 – AI</t>
        </is>
      </c>
      <c r="C79" s="76" t="inlineStr">
        <is>
          <t>UC-AI-03</t>
        </is>
      </c>
      <c r="D79" s="77" t="inlineStr">
        <is>
          <t>Trợ lý hỏi đáp cho hội viên (màn S33): Member đặt câu hỏi trong phạm vi cho phép và nhận câu trả lời dựa trên dữ liệu của chính mình, theo giới hạn sử dụng.</t>
        </is>
      </c>
      <c r="E79" s="77" t="inlineStr">
        <is>
          <t>Member / Coach / System AI</t>
        </is>
      </c>
      <c r="F79" s="76" t="n">
        <v>75</v>
      </c>
      <c r="G79" s="76" t="inlineStr">
        <is>
          <t>Medium</t>
        </is>
      </c>
      <c r="H79" s="76" t="inlineStr">
        <is>
          <t>Nhanh</t>
        </is>
      </c>
      <c r="I79" s="76" t="inlineStr">
        <is>
          <t>Khôi</t>
        </is>
      </c>
      <c r="J79" s="76" t="inlineStr">
        <is>
          <t>Sprint 4</t>
        </is>
      </c>
      <c r="K79" s="77" t="inlineStr">
        <is>
          <t>03/11 → 16/11</t>
        </is>
      </c>
      <c r="L79" s="77" t="inlineStr">
        <is>
          <t>AI_CONFIG, AI_CALL_LOG, AI_SUGGESTION, USER</t>
        </is>
      </c>
      <c r="M79" s="77" t="inlineStr">
        <is>
          <t>Áp giới hạn N câu/ngày từ cấu hình và chỉ truy cập dữ liệu của chính người hỏi. Không gửi PII ra provider theo BR-AI-03; lỗi AI phải có fallback, không lộ stack trace và không chờ vô hạn theo BR-AI-04; câu ngoài phạm vi hướng dẫn liên hệ lễ tân.</t>
        </is>
      </c>
      <c r="N79" s="78" t="inlineStr">
        <is>
          <t>To Do</t>
        </is>
      </c>
      <c r="O79" s="79" t="inlineStr">
        <is>
          <t>sprint-4/be-nhanh, sprint-4/fe-khoi</t>
        </is>
      </c>
    </row>
    <row r="80" ht="60" customHeight="1" s="47">
      <c r="A80" s="76" t="n">
        <v>76</v>
      </c>
      <c r="B80" s="77" t="inlineStr">
        <is>
          <t>Flow 5, 6 – AI</t>
        </is>
      </c>
      <c r="C80" s="76" t="inlineStr">
        <is>
          <t>UC-AI-06</t>
        </is>
      </c>
      <c r="D80" s="77" t="inlineStr">
        <is>
          <t>Nhật ký và chi phí AI (màn S31): Manager xem số lượt gọi, token, chi phí, model, thời gian và lỗi theo từng tính năng mà không lộ secret/PII.</t>
        </is>
      </c>
      <c r="E80" s="77" t="inlineStr">
        <is>
          <t>Center Manager</t>
        </is>
      </c>
      <c r="F80" s="76" t="n">
        <v>76</v>
      </c>
      <c r="G80" s="76" t="inlineStr">
        <is>
          <t>Simple</t>
        </is>
      </c>
      <c r="H80" s="76" t="inlineStr">
        <is>
          <t>Nhanh</t>
        </is>
      </c>
      <c r="I80" s="76" t="inlineStr">
        <is>
          <t>Khôi</t>
        </is>
      </c>
      <c r="J80" s="76" t="inlineStr">
        <is>
          <t>Sprint 4</t>
        </is>
      </c>
      <c r="K80" s="77" t="inlineStr">
        <is>
          <t>03/11 → 16/11</t>
        </is>
      </c>
      <c r="L80" s="77" t="inlineStr">
        <is>
          <t>AI_CALL_LOG, AI_CONFIG</t>
        </is>
      </c>
      <c r="M80" s="77" t="inlineStr">
        <is>
          <t>Mỗi lần gọi phải ghi AI_CALL_LOG gồm model, token, chi phí, thời gian và kết quả; không lưu secret/PII trong log. Khi vượt ngân sách tháng, tự tắt tính năng AI và cảnh báo Manager theo BR-AI-05; màn hình chỉ đọc và có bộ lọc theo thời gian.</t>
        </is>
      </c>
      <c r="N80" s="78" t="inlineStr">
        <is>
          <t>To Do</t>
        </is>
      </c>
      <c r="O80" s="79" t="inlineStr">
        <is>
          <t>sprint-4/be-nhanh, sprint-4/fe-khoi</t>
        </is>
      </c>
    </row>
    <row r="81" ht="73.5" customHeight="1" s="47">
      <c r="A81" s="60" t="n">
        <v>77</v>
      </c>
      <c r="B81" s="61" t="inlineStr">
        <is>
          <t>Flow 1 – User &amp; Membership</t>
        </is>
      </c>
      <c r="C81" s="60" t="inlineStr">
        <is>
          <t>UC-UM-01</t>
        </is>
      </c>
      <c r="D81" s="61" t="inlineStr">
        <is>
          <t>Bắt xác minh email trước khi vào hệ thống (màn 1, S19): đăng nhập đúng mật khẩu nhưng email chưa xác minh bị chặn; hội viên gửi lại và xác nhận link xác minh.</t>
        </is>
      </c>
      <c r="E81" s="61" t="inlineStr">
        <is>
          <t>Member</t>
        </is>
      </c>
      <c r="F81" s="60" t="n">
        <v>77</v>
      </c>
      <c r="G81" s="60" t="inlineStr">
        <is>
          <t>Medium</t>
        </is>
      </c>
      <c r="H81" s="60" t="inlineStr">
        <is>
          <t>Nhanh</t>
        </is>
      </c>
      <c r="I81" s="60" t="inlineStr">
        <is>
          <t>Nhanh</t>
        </is>
      </c>
      <c r="J81" s="60" t="inlineStr">
        <is>
          <t>Sprint 3</t>
        </is>
      </c>
      <c r="K81" s="61" t="inlineStr">
        <is>
          <t>13/10 → 14/10 (bổ sung, làm trước sprint)</t>
        </is>
      </c>
      <c r="L81" s="61" t="inlineStr">
        <is>
          <t>USER, EMAIL_VERIFICATION_TOKEN</t>
        </is>
      </c>
      <c r="M81" s="61" t="inlineStr">
        <is>
          <t>Trả 403 EMAIL_NOT_VERIFIED sau khi kiểm tra mật khẩu. Token băm, dùng một lần, hạn theo EMAIL_VERIFICATION_TTL_MINUTES; gửi lại có giới hạn tần suất. Tài khoản chỉ có SĐT hoặc do nhân viên tạo coi là đã xác minh.</t>
        </is>
      </c>
      <c r="N81" s="62" t="inlineStr">
        <is>
          <t>Review</t>
        </is>
      </c>
      <c r="O81" s="63" t="inlineStr">
        <is>
          <t>feature/f3-sepay-online-payment (PR #3)</t>
        </is>
      </c>
    </row>
    <row r="82" ht="46.5" customHeight="1" s="47">
      <c r="A82" s="60" t="n">
        <v>78</v>
      </c>
      <c r="B82" s="61" t="inlineStr">
        <is>
          <t>Flow 1 – User &amp; Membership</t>
        </is>
      </c>
      <c r="C82" s="60" t="inlineStr">
        <is>
          <t>UC-UM-02</t>
        </is>
      </c>
      <c r="D82" s="61" t="inlineStr">
        <is>
          <t>Đổi email có xác nhận (màn S20): email mới chỉ có hiệu lực sau khi bấm link gửi tới địa chỉ mới.</t>
        </is>
      </c>
      <c r="E82" s="61" t="inlineStr">
        <is>
          <t>Member</t>
        </is>
      </c>
      <c r="F82" s="60" t="n">
        <v>78</v>
      </c>
      <c r="G82" s="60" t="inlineStr">
        <is>
          <t>Medium</t>
        </is>
      </c>
      <c r="H82" s="60" t="inlineStr">
        <is>
          <t>Nhanh</t>
        </is>
      </c>
      <c r="I82" s="60" t="inlineStr">
        <is>
          <t>Nhanh</t>
        </is>
      </c>
      <c r="J82" s="60" t="inlineStr">
        <is>
          <t>Sprint 3</t>
        </is>
      </c>
      <c r="K82" s="61" t="inlineStr">
        <is>
          <t>13/10 → 14/10 (bổ sung, làm trước sprint)</t>
        </is>
      </c>
      <c r="L82" s="61" t="inlineStr">
        <is>
          <t>USER, EMAIL_VERIFICATION_TOKEN</t>
        </is>
      </c>
      <c r="M82" s="61" t="inlineStr">
        <is>
          <t>BR-1.1: email duy nhất. Email cũ vẫn dùng đến khi xác nhận (pendingEmail); token băm, dùng một lần.</t>
        </is>
      </c>
      <c r="N82" s="62" t="inlineStr">
        <is>
          <t>Review</t>
        </is>
      </c>
      <c r="O82" s="63" t="inlineStr">
        <is>
          <t>feature/f3-sepay-online-payment (PR #3)</t>
        </is>
      </c>
    </row>
    <row r="83" ht="46.5" customHeight="1" s="47">
      <c r="A83" s="60" t="n">
        <v>79</v>
      </c>
      <c r="B83" s="61" t="inlineStr">
        <is>
          <t>Flow 1 – User &amp; Membership</t>
        </is>
      </c>
      <c r="C83" s="60" t="inlineStr">
        <is>
          <t>UC-UM-19</t>
        </is>
      </c>
      <c r="D83" s="61" t="inlineStr">
        <is>
          <t>Nhân viên xác minh email thủ công (màn S22): lễ tân hoặc quản lý xác minh khi hội viên không nhận được email.</t>
        </is>
      </c>
      <c r="E83" s="61" t="inlineStr">
        <is>
          <t>Receptionist / Center Manager</t>
        </is>
      </c>
      <c r="F83" s="60" t="n">
        <v>79</v>
      </c>
      <c r="G83" s="60" t="inlineStr">
        <is>
          <t>Simple</t>
        </is>
      </c>
      <c r="H83" s="60" t="inlineStr">
        <is>
          <t>Nhanh</t>
        </is>
      </c>
      <c r="I83" s="60" t="inlineStr">
        <is>
          <t>Nhanh</t>
        </is>
      </c>
      <c r="J83" s="60" t="inlineStr">
        <is>
          <t>Sprint 3</t>
        </is>
      </c>
      <c r="K83" s="61" t="inlineStr">
        <is>
          <t>13/10 → 14/10 (bổ sung, làm trước sprint)</t>
        </is>
      </c>
      <c r="L83" s="61" t="inlineStr">
        <is>
          <t>USER, AUDIT_LOG</t>
        </is>
      </c>
      <c r="M83" s="61" t="inlineStr">
        <is>
          <t>Chỉ người có permission user.verify_email (không so sánh tên role); ghi nhật ký người thực hiện.</t>
        </is>
      </c>
      <c r="N83" s="62" t="inlineStr">
        <is>
          <t>Review</t>
        </is>
      </c>
      <c r="O83" s="63" t="inlineStr">
        <is>
          <t>feature/f3-sepay-online-payment (PR #3)</t>
        </is>
      </c>
    </row>
    <row r="84" ht="46.5" customHeight="1" s="47">
      <c r="A84" s="60" t="n">
        <v>80</v>
      </c>
      <c r="B84" s="61" t="inlineStr">
        <is>
          <t>Flow 1 – User &amp; Membership</t>
        </is>
      </c>
      <c r="C84" s="60" t="inlineStr">
        <is>
          <t>UC-UM-12</t>
        </is>
      </c>
      <c r="D84" s="61" t="inlineStr">
        <is>
          <t>Liên hệ hỗ trợ khi không nhận được email (màn S19): hiển thị Zalo, Facebook, điện thoại trung tâm.</t>
        </is>
      </c>
      <c r="E84" s="61" t="inlineStr">
        <is>
          <t>Tất cả tài khoản</t>
        </is>
      </c>
      <c r="F84" s="60" t="n">
        <v>80</v>
      </c>
      <c r="G84" s="60" t="inlineStr">
        <is>
          <t>Simple</t>
        </is>
      </c>
      <c r="H84" s="60" t="inlineStr">
        <is>
          <t>Nhanh</t>
        </is>
      </c>
      <c r="I84" s="60" t="inlineStr">
        <is>
          <t>Nhanh</t>
        </is>
      </c>
      <c r="J84" s="60" t="inlineStr">
        <is>
          <t>Sprint 3</t>
        </is>
      </c>
      <c r="K84" s="61" t="inlineStr">
        <is>
          <t>13/10 → 14/10 (bổ sung, làm trước sprint)</t>
        </is>
      </c>
      <c r="L84" s="61" t="inlineStr">
        <is>
          <t>SYSTEM_SETTING</t>
        </is>
      </c>
      <c r="M84" s="61" t="inlineStr">
        <is>
          <t>Link Zalo và Facebook đọc từ system_settings (CENTER_SUPPORT_ZALO_URL, CENTER_SUPPORT_FACEBOOK_URL), kiểm tra định dạng URL; chỉ hiện kênh đã cấu hình; không trả dữ liệu nhạy cảm.</t>
        </is>
      </c>
      <c r="N84" s="62" t="inlineStr">
        <is>
          <t>Review</t>
        </is>
      </c>
      <c r="O84" s="63" t="inlineStr">
        <is>
          <t>feature/f3-sepay-online-payment (PR #3)</t>
        </is>
      </c>
    </row>
    <row r="85" ht="60" customHeight="1" s="47">
      <c r="A85" s="64" t="n">
        <v>81</v>
      </c>
      <c r="B85" s="65" t="inlineStr">
        <is>
          <t>Flow 3 – Payment &amp; Report</t>
        </is>
      </c>
      <c r="C85" s="64" t="inlineStr">
        <is>
          <t>UC-UM-16</t>
        </is>
      </c>
      <c r="D85" s="65" t="inlineStr">
        <is>
          <t>Cấu hình tài khoản nhận tiền SePay động (màn S27): mỗi thành viên nhập tài khoản SePay test riêng.</t>
        </is>
      </c>
      <c r="E85" s="65" t="inlineStr">
        <is>
          <t>Center Manager</t>
        </is>
      </c>
      <c r="F85" s="64" t="n">
        <v>81</v>
      </c>
      <c r="G85" s="64" t="inlineStr">
        <is>
          <t>Simple</t>
        </is>
      </c>
      <c r="H85" s="64" t="inlineStr">
        <is>
          <t>Nhanh</t>
        </is>
      </c>
      <c r="I85" s="64" t="inlineStr">
        <is>
          <t>—</t>
        </is>
      </c>
      <c r="J85" s="64" t="inlineStr">
        <is>
          <t>Sprint 3</t>
        </is>
      </c>
      <c r="K85" s="65" t="inlineStr">
        <is>
          <t>13/10 → 14/10 (bổ sung, làm trước sprint)</t>
        </is>
      </c>
      <c r="L85" s="65" t="inlineStr">
        <is>
          <t>SYSTEM_SETTING</t>
        </is>
      </c>
      <c r="M85" s="65" t="inlineStr">
        <is>
          <t>Không hardcode: PAYMENT_BANK_CODE, PAYMENT_BANK_ACCOUNT_NUMBER, PAYMENT_BANK_ACCOUNT_NAME trong system_settings; chỉ SEPAY_WEBHOOK_API_KEY ở .env; kiểm tra định dạng mã ngân hàng và số tài khoản. Form Cài đặt dựng từ schema dùng chung nên không có FE riêng.</t>
        </is>
      </c>
      <c r="N85" s="66" t="inlineStr">
        <is>
          <t>Review</t>
        </is>
      </c>
      <c r="O85" s="67" t="inlineStr">
        <is>
          <t>feature/f3-sepay-online-payment (PR #3)</t>
        </is>
      </c>
    </row>
    <row r="86" ht="46.5" customHeight="1" s="47">
      <c r="A86" s="64" t="n">
        <v>82</v>
      </c>
      <c r="B86" s="65" t="inlineStr">
        <is>
          <t>Flow 3 – Payment &amp; Report</t>
        </is>
      </c>
      <c r="C86" s="64" t="inlineStr">
        <is>
          <t>UC-PAY-06</t>
        </is>
      </c>
      <c r="D86" s="65" t="inlineStr">
        <is>
          <t>Phân biệt kênh hoá đơn ONLINE và COUNTER (màn 16): cột và bộ lọc kênh; hộp thu tiền hiển thị trước tác động lên gói.</t>
        </is>
      </c>
      <c r="E86" s="65" t="inlineStr">
        <is>
          <t>Receptionist / Center Manager</t>
        </is>
      </c>
      <c r="F86" s="64" t="n">
        <v>82</v>
      </c>
      <c r="G86" s="64" t="inlineStr">
        <is>
          <t>Medium</t>
        </is>
      </c>
      <c r="H86" s="64" t="inlineStr">
        <is>
          <t>Nhanh</t>
        </is>
      </c>
      <c r="I86" s="64" t="inlineStr">
        <is>
          <t>Nhanh</t>
        </is>
      </c>
      <c r="J86" s="64" t="inlineStr">
        <is>
          <t>Sprint 3</t>
        </is>
      </c>
      <c r="K86" s="65" t="inlineStr">
        <is>
          <t>13/10 → 14/10 (bổ sung, làm trước sprint)</t>
        </is>
      </c>
      <c r="L86" s="65" t="inlineStr">
        <is>
          <t>INVOICE, PAYMENT</t>
        </is>
      </c>
      <c r="M86" s="65" t="inlineStr">
        <is>
          <t>Kênh gán lúc tạo: hội viên tự mua là ONLINE, lễ tân tạo là COUNTER. Một gói không có đồng thời hoá đơn PENDING khác kênh cho cùng hội viên. Hiển thị trước gói cộng dồn (còn hạn) hay bắt đầu mới (hết hạn) theo BR-1.3 và BR-1.4.</t>
        </is>
      </c>
      <c r="N86" s="66" t="inlineStr">
        <is>
          <t>Review</t>
        </is>
      </c>
      <c r="O86" s="67" t="inlineStr">
        <is>
          <t>feature/f3-sepay-online-payment (PR #3)</t>
        </is>
      </c>
    </row>
    <row r="87" ht="60" customHeight="1" s="47">
      <c r="A87" s="60" t="n">
        <v>83</v>
      </c>
      <c r="B87" s="61" t="inlineStr">
        <is>
          <t>Flow 1 – User &amp; Membership</t>
        </is>
      </c>
      <c r="C87" s="60" t="inlineStr">
        <is>
          <t>UC-UM-03</t>
        </is>
      </c>
      <c r="D87" s="61" t="inlineStr">
        <is>
          <t>Gói tập là thời hạn có giảm giá (màn 4): đơn giá mỗi ngày, phần trăm tiết kiệm, banner hạn dùng và số lần thanh toán đã cộng dồn.</t>
        </is>
      </c>
      <c r="E87" s="61" t="inlineStr">
        <is>
          <t>Member</t>
        </is>
      </c>
      <c r="F87" s="60" t="n">
        <v>83</v>
      </c>
      <c r="G87" s="60" t="inlineStr">
        <is>
          <t>Medium</t>
        </is>
      </c>
      <c r="H87" s="60" t="inlineStr">
        <is>
          <t>Nhanh</t>
        </is>
      </c>
      <c r="I87" s="60" t="inlineStr">
        <is>
          <t>Nhanh</t>
        </is>
      </c>
      <c r="J87" s="60" t="inlineStr">
        <is>
          <t>Sprint 3</t>
        </is>
      </c>
      <c r="K87" s="61" t="inlineStr">
        <is>
          <t>13/10 → 14/10 (bổ sung, làm trước sprint)</t>
        </is>
      </c>
      <c r="L87" s="61" t="inlineStr">
        <is>
          <t>MEMBERSHIP_PLAN, MEMBERSHIP, INVOICE</t>
        </is>
      </c>
      <c r="M87" s="61" t="inlineStr">
        <is>
          <t>BR-1.2 và BR-1.3: gia hạn khi còn hạn cộng dồn vào cùng một membership. Gói chỉ quy định thời hạn và đơn giá, mọi gói có quyền lợi như nhau; phần trăm tiết kiệm tính từ giá thật so với gói ngắn nhất đang bán.</t>
        </is>
      </c>
      <c r="N87" s="62" t="inlineStr">
        <is>
          <t>Review</t>
        </is>
      </c>
      <c r="O87" s="63" t="inlineStr">
        <is>
          <t>feature/f3-sepay-online-payment (PR #3)</t>
        </is>
      </c>
    </row>
    <row r="88" ht="60" customHeight="1" s="47">
      <c r="A88" s="68" t="n">
        <v>84</v>
      </c>
      <c r="B88" s="69" t="inlineStr">
        <is>
          <t>Flow 2 – Class Booking &amp; Schedule</t>
        </is>
      </c>
      <c r="C88" s="68" t="inlineStr">
        <is>
          <t>UC-CB-06</t>
        </is>
      </c>
      <c r="D88" s="69" t="inlineStr">
        <is>
          <t>Làm sâu luật xếp lớp (màn 9, 10): lý do chặn cụ thể, thông báo thành công riêng cho đăng ký, huỷ, đăng ký hộ; mô tả lịch tuần dễ đọc.</t>
        </is>
      </c>
      <c r="E88" s="69" t="inlineStr">
        <is>
          <t>Member / Receptionist</t>
        </is>
      </c>
      <c r="F88" s="68" t="n">
        <v>84</v>
      </c>
      <c r="G88" s="68" t="inlineStr">
        <is>
          <t>Medium</t>
        </is>
      </c>
      <c r="H88" s="68" t="inlineStr">
        <is>
          <t>Nhanh</t>
        </is>
      </c>
      <c r="I88" s="68" t="inlineStr">
        <is>
          <t>Nhanh</t>
        </is>
      </c>
      <c r="J88" s="68" t="inlineStr">
        <is>
          <t>Sprint 3</t>
        </is>
      </c>
      <c r="K88" s="69" t="inlineStr">
        <is>
          <t>13/10 → 14/10 (bổ sung, làm trước sprint)</t>
        </is>
      </c>
      <c r="L88" s="69" t="inlineStr">
        <is>
          <t>CLASS, CLASS_SESSION, CLASS_ENROLLMENT</t>
        </is>
      </c>
      <c r="M88" s="69" t="inlineStr">
        <is>
          <t>BR-2.1 đến BR-2.5. Trùng giờ khi a.start &lt; b.end và b.start &lt; a.end; hạn huỷ = buổi kế tiếp trừ CLASS_CANCEL_MIN_HOURS_BEFORE giờ; có ngoại lệ huỷ khi đổi lịch gây xung đột. FE hiển thị đúng lý do backend trả về.</t>
        </is>
      </c>
      <c r="N88" s="70" t="inlineStr">
        <is>
          <t>Review</t>
        </is>
      </c>
      <c r="O88" s="71" t="inlineStr">
        <is>
          <t>feature/f3-sepay-online-payment (PR #3)</t>
        </is>
      </c>
    </row>
    <row r="89" ht="33" customHeight="1" s="47">
      <c r="A89" s="80" t="n">
        <v>85</v>
      </c>
      <c r="B89" s="81" t="inlineStr">
        <is>
          <t>Khác – Tài liệu &amp; chất lượng</t>
        </is>
      </c>
      <c r="C89" s="80" t="inlineStr">
        <is>
          <t>Tài liệu</t>
        </is>
      </c>
      <c r="D89" s="81" t="inlineStr">
        <is>
          <t>Tài liệu ERD bản 2, mô phỏng một user nhiều membership, kịch bản demo 15 phút.</t>
        </is>
      </c>
      <c r="E89" s="81" t="inlineStr">
        <is>
          <t>—</t>
        </is>
      </c>
      <c r="F89" s="80" t="n">
        <v>85</v>
      </c>
      <c r="G89" s="80" t="inlineStr">
        <is>
          <t>Simple</t>
        </is>
      </c>
      <c r="H89" s="80" t="inlineStr">
        <is>
          <t>Nhanh</t>
        </is>
      </c>
      <c r="I89" s="80" t="inlineStr">
        <is>
          <t>—</t>
        </is>
      </c>
      <c r="J89" s="80" t="inlineStr">
        <is>
          <t>Sprint 3</t>
        </is>
      </c>
      <c r="K89" s="81" t="inlineStr">
        <is>
          <t>13/10 → 14/10 (bổ sung, làm trước sprint)</t>
        </is>
      </c>
      <c r="L89" s="81" t="inlineStr">
        <is>
          <t>—</t>
        </is>
      </c>
      <c r="M89" s="81" t="inlineStr">
        <is>
          <t>Không có business rule; mô tả đúng hành vi code (activeUserId duy nhất, gia hạn cộng dồn vào cùng một dòng).</t>
        </is>
      </c>
      <c r="N89" s="82" t="inlineStr">
        <is>
          <t>Review</t>
        </is>
      </c>
      <c r="O89" s="83" t="inlineStr">
        <is>
          <t>feature/f3-sepay-online-payment (PR #3)</t>
        </is>
      </c>
    </row>
    <row r="90" ht="33" customHeight="1" s="47">
      <c r="A90" s="80" t="n">
        <v>86</v>
      </c>
      <c r="B90" s="81" t="inlineStr">
        <is>
          <t>Khác – Tài liệu &amp; chất lượng</t>
        </is>
      </c>
      <c r="C90" s="80" t="inlineStr">
        <is>
          <t>Phi chức năng</t>
        </is>
      </c>
      <c r="D90" s="81" t="inlineStr">
        <is>
          <t>Vá lỗ hổng phụ thuộc: npm audit chạy production còn 0 lỗ hổng.</t>
        </is>
      </c>
      <c r="E90" s="81" t="inlineStr">
        <is>
          <t>—</t>
        </is>
      </c>
      <c r="F90" s="80" t="n">
        <v>86</v>
      </c>
      <c r="G90" s="80" t="inlineStr">
        <is>
          <t>Simple</t>
        </is>
      </c>
      <c r="H90" s="80" t="inlineStr">
        <is>
          <t>Nhanh</t>
        </is>
      </c>
      <c r="I90" s="80" t="inlineStr">
        <is>
          <t>—</t>
        </is>
      </c>
      <c r="J90" s="80" t="inlineStr">
        <is>
          <t>Sprint 3</t>
        </is>
      </c>
      <c r="K90" s="81" t="inlineStr">
        <is>
          <t>13/10 → 14/10 (bổ sung, làm trước sprint)</t>
        </is>
      </c>
      <c r="L90" s="81" t="inlineStr">
        <is>
          <t>—</t>
        </is>
      </c>
      <c r="M90" s="81" t="inlineStr">
        <is>
          <t>Không có business rule; 3 cảnh báo còn lại chỉ ở công cụ lint và chưa có bản vá.</t>
        </is>
      </c>
      <c r="N90" s="82" t="inlineStr">
        <is>
          <t>Review</t>
        </is>
      </c>
      <c r="O90" s="83" t="inlineStr">
        <is>
          <t>feature/f3-sepay-online-payment (PR #3)</t>
        </is>
      </c>
    </row>
    <row r="91" ht="46.5" customHeight="1" s="47">
      <c r="A91" s="80" t="n">
        <v>87</v>
      </c>
      <c r="B91" s="81" t="inlineStr">
        <is>
          <t>Khác – Tài liệu &amp; chất lượng</t>
        </is>
      </c>
      <c r="C91" s="80" t="inlineStr">
        <is>
          <t>Kiểm thử</t>
        </is>
      </c>
      <c r="D91" s="81" t="inlineStr">
        <is>
          <t>E2E Playwright desktop 19 ca (SePay, quầy, email, xếp lớp) và báo cáo nghiệm thu.</t>
        </is>
      </c>
      <c r="E91" s="81" t="inlineStr">
        <is>
          <t>—</t>
        </is>
      </c>
      <c r="F91" s="80" t="n">
        <v>87</v>
      </c>
      <c r="G91" s="80" t="inlineStr">
        <is>
          <t>Simple</t>
        </is>
      </c>
      <c r="H91" s="80" t="inlineStr">
        <is>
          <t>Nhanh</t>
        </is>
      </c>
      <c r="I91" s="80" t="inlineStr">
        <is>
          <t>—</t>
        </is>
      </c>
      <c r="J91" s="80" t="inlineStr">
        <is>
          <t>Sprint 3</t>
        </is>
      </c>
      <c r="K91" s="81" t="inlineStr">
        <is>
          <t>13/10 → 14/10 (bổ sung, làm trước sprint)</t>
        </is>
      </c>
      <c r="L91" s="81" t="inlineStr">
        <is>
          <t>—</t>
        </is>
      </c>
      <c r="M91" s="81" t="inlineStr">
        <is>
          <t>Không có business rule; chỉ chạy giao diện desktop 1366×900 theo yêu cầu giảng viên.</t>
        </is>
      </c>
      <c r="N91" s="82" t="inlineStr">
        <is>
          <t>Review</t>
        </is>
      </c>
      <c r="O91" s="83" t="inlineStr">
        <is>
          <t>feature/f3-sepay-online-payment (PR #3)</t>
        </is>
      </c>
    </row>
    <row r="92" ht="100.5" customHeight="1" s="47">
      <c r="A92" s="64" t="n">
        <v>88</v>
      </c>
      <c r="B92" s="65" t="inlineStr">
        <is>
          <t>Flow 3 – Payment &amp; Report</t>
        </is>
      </c>
      <c r="C92" s="64" t="inlineStr">
        <is>
          <t>UC-PAY-11</t>
        </is>
      </c>
      <c r="D92" s="65" t="inlineStr">
        <is>
          <t>Map giao dịch sai mã vào hội viên / gói (màn S29): Manager hoặc lễ tân có quyền mở một giao dịch không tự khớp (sai mã, thiếu mã), tìm hội viên theo tên/SĐT, chọn hoá đơn PENDING/FAILED của người đó hoặc tạo hoá đơn mới cho một gói đang bán rồi gán giao dịch vào.</t>
        </is>
      </c>
      <c r="E92" s="65" t="inlineStr">
        <is>
          <t>Center Manager / Receptionist (có quyền)</t>
        </is>
      </c>
      <c r="F92" s="64" t="n">
        <v>88</v>
      </c>
      <c r="G92" s="64" t="inlineStr">
        <is>
          <t>Complex</t>
        </is>
      </c>
      <c r="H92" s="64" t="inlineStr">
        <is>
          <t>Nhanh</t>
        </is>
      </c>
      <c r="I92" s="64" t="inlineStr">
        <is>
          <t>Khải</t>
        </is>
      </c>
      <c r="J92" s="64" t="inlineStr">
        <is>
          <t>Sprint 3</t>
        </is>
      </c>
      <c r="K92" s="65" t="inlineStr">
        <is>
          <t>20/10 → 02/11</t>
        </is>
      </c>
      <c r="L92" s="65" t="inlineStr">
        <is>
          <t>PAYMENT_WEBHOOK_LOG*, INVOICE, PAYMENT, MEMBERSHIP, AUDIT_LOG*</t>
        </is>
      </c>
      <c r="M92" s="65" t="inlineStr">
        <is>
          <t>BR-PAY-15: chỉ người có payment.reconcile, không so tên role. Gán xong chạy lại đúng bước khớp tiền của webhook (một hàm dùng chung): đủ tiền ⇒ PAID + kích hoạt gói theo BR-1.3/1.4; thiếu ⇒ #89; thừa ⇒ #90. Một giao dịch chỉ map một lần (khoá hàng), ghi audit người map, lý do, số tiền.</t>
        </is>
      </c>
      <c r="N92" s="66" t="inlineStr">
        <is>
          <t>To Do</t>
        </is>
      </c>
      <c r="O92" s="67" t="inlineStr">
        <is>
          <t>sprint-3/be-nhanh, sprint-3/fe-khai</t>
        </is>
      </c>
    </row>
    <row r="93" ht="87" customHeight="1" s="47">
      <c r="A93" s="64" t="n">
        <v>89</v>
      </c>
      <c r="B93" s="65" t="inlineStr">
        <is>
          <t>Flow 3 – Payment &amp; Report</t>
        </is>
      </c>
      <c r="C93" s="64" t="inlineStr">
        <is>
          <t>UC-PAY-12</t>
        </is>
      </c>
      <c r="D93" s="65" t="inlineStr">
        <is>
          <t>Thiếu tiền – yêu cầu hội viên chuyển bù (màn 15, 18): hoá đơn giữ trạng thái chờ, hiển thị đã nhận X / còn thiếu Y, sinh QR phần còn thiếu (cùng mã hoá đơn) và gửi thông báo; đủ tiền thì PAID, kích hoạt gói và cho xuất hoá đơn.</t>
        </is>
      </c>
      <c r="E93" s="65" t="inlineStr">
        <is>
          <t>Member / System</t>
        </is>
      </c>
      <c r="F93" s="64" t="n">
        <v>89</v>
      </c>
      <c r="G93" s="64" t="inlineStr">
        <is>
          <t>Complex</t>
        </is>
      </c>
      <c r="H93" s="64" t="inlineStr">
        <is>
          <t>Nhanh</t>
        </is>
      </c>
      <c r="I93" s="64" t="inlineStr">
        <is>
          <t>Khôi</t>
        </is>
      </c>
      <c r="J93" s="64" t="inlineStr">
        <is>
          <t>Sprint 3</t>
        </is>
      </c>
      <c r="K93" s="65" t="inlineStr">
        <is>
          <t>20/10 → 02/11</t>
        </is>
      </c>
      <c r="L93" s="65" t="inlineStr">
        <is>
          <t>INVOICE, PAYMENT, NOTIFICATION</t>
        </is>
      </c>
      <c r="M93" s="65" t="inlineStr">
        <is>
          <t>BR-PAY-16: số đã nhận cộng dồn từ các payment của hoá đơn; chỉ PAID khi tổng nhận = số hoá đơn. Hạn chuyển bù = PAYMENT_TOPUP_DEADLINE_HOURS (system_settings, mặc định 48 giờ); quá hạn thì phiếu chuyển Manager quyết định hoàn số đã nhận. Hoá đơn PDF chỉ xuất khi đã PAID (UC-PAY-07).</t>
        </is>
      </c>
      <c r="N93" s="66" t="inlineStr">
        <is>
          <t>To Do</t>
        </is>
      </c>
      <c r="O93" s="67" t="inlineStr">
        <is>
          <t>sprint-3/be-nhanh, sprint-3/fe-khoi</t>
        </is>
      </c>
    </row>
    <row r="94" ht="87" customHeight="1" s="47">
      <c r="A94" s="64" t="n">
        <v>90</v>
      </c>
      <c r="B94" s="65" t="inlineStr">
        <is>
          <t>Flow 3 – Payment &amp; Report</t>
        </is>
      </c>
      <c r="C94" s="64" t="inlineStr">
        <is>
          <t>UC-PAY-11</t>
        </is>
      </c>
      <c r="D94" s="65" t="inlineStr">
        <is>
          <t>Thừa tiền – xác nhận và xử lý phần thừa (màn S29): Manager xác nhận hoá đơn PAID, hệ thống tạo khoản cần hoàn phần thừa; Manager liên hệ hội viên rồi chọn hoàn phần thừa hoặc dùng phần thừa cho lần gia hạn kế tiếp nếu hội viên đồng ý.</t>
        </is>
      </c>
      <c r="E94" s="65" t="inlineStr">
        <is>
          <t>Center Manager</t>
        </is>
      </c>
      <c r="F94" s="64" t="n">
        <v>90</v>
      </c>
      <c r="G94" s="64" t="inlineStr">
        <is>
          <t>Medium</t>
        </is>
      </c>
      <c r="H94" s="64" t="inlineStr">
        <is>
          <t>Nhanh</t>
        </is>
      </c>
      <c r="I94" s="64" t="inlineStr">
        <is>
          <t>Khải</t>
        </is>
      </c>
      <c r="J94" s="64" t="inlineStr">
        <is>
          <t>Sprint 3</t>
        </is>
      </c>
      <c r="K94" s="65" t="inlineStr">
        <is>
          <t>20/10 → 02/11</t>
        </is>
      </c>
      <c r="L94" s="65" t="inlineStr">
        <is>
          <t>INVOICE, PAYMENT, PAYMENT_WEBHOOK_LOG*, AUDIT_LOG*</t>
        </is>
      </c>
      <c r="M94" s="65" t="inlineStr">
        <is>
          <t>BR-PAY-17: phần thừa không tự cộng thành ngày tập; phải có quyết định của Manager và ghi lại ý kiến hội viên. Hoàn phần thừa không đổi hoá đơn sang REFUNDED (UC-PAY-09 A1); mã tham chiếu chuyển trả bắt buộc khi đóng phiếu.</t>
        </is>
      </c>
      <c r="N94" s="66" t="inlineStr">
        <is>
          <t>To Do</t>
        </is>
      </c>
      <c r="O94" s="67" t="inlineStr">
        <is>
          <t>sprint-3/be-nhanh, sprint-3/fe-khai</t>
        </is>
      </c>
    </row>
    <row r="95" ht="100.5" customHeight="1" s="47">
      <c r="A95" s="64" t="n">
        <v>91</v>
      </c>
      <c r="B95" s="65" t="inlineStr">
        <is>
          <t>Flow 3 – Payment &amp; Report</t>
        </is>
      </c>
      <c r="C95" s="64" t="inlineStr">
        <is>
          <t>UC-PAY-13</t>
        </is>
      </c>
      <c r="D95" s="65" t="inlineStr">
        <is>
          <t>Cảnh báo chuyển 2 lần cho một mã (màn S29, header): webhook thấy hoá đơn đã PAID mà lại nhận thêm giao dịch mới cùng mã ⇒ tạo phiếu DUPLICATE_TRANSFER mức cảnh báo cao, hiện badge đỏ cho Manager và báo hội viên "trung tâm đã nhận 2 lần và sẽ liên hệ".</t>
        </is>
      </c>
      <c r="E95" s="65" t="inlineStr">
        <is>
          <t>SePay / System / Center Manager</t>
        </is>
      </c>
      <c r="F95" s="64" t="n">
        <v>91</v>
      </c>
      <c r="G95" s="64" t="inlineStr">
        <is>
          <t>Medium</t>
        </is>
      </c>
      <c r="H95" s="64" t="inlineStr">
        <is>
          <t>Nhanh</t>
        </is>
      </c>
      <c r="I95" s="64" t="inlineStr">
        <is>
          <t>Khải</t>
        </is>
      </c>
      <c r="J95" s="64" t="inlineStr">
        <is>
          <t>Sprint 3</t>
        </is>
      </c>
      <c r="K95" s="65" t="inlineStr">
        <is>
          <t>20/10 → 02/11</t>
        </is>
      </c>
      <c r="L95" s="65" t="inlineStr">
        <is>
          <t>PAYMENT_WEBHOOK_LOG*, INVOICE, NOTIFICATION</t>
        </is>
      </c>
      <c r="M95" s="65" t="inlineStr">
        <is>
          <t>BR-PAY-18: không cộng thêm thời hạn gói, không tự hoàn. Manager phải liên hệ hội viên (ghi ở #92) rồi chọn: hoàn khoản chuyển lặp, hoặc map khoản đó sang một hoá đơn gia hạn mới nếu hội viên muốn gia hạn. Phiếu chưa xử lý quá 24 giờ được nhắc lại trên dashboard.</t>
        </is>
      </c>
      <c r="N95" s="66" t="inlineStr">
        <is>
          <t>To Do</t>
        </is>
      </c>
      <c r="O95" s="67" t="inlineStr">
        <is>
          <t>sprint-3/be-nhanh, sprint-3/fe-khai</t>
        </is>
      </c>
    </row>
    <row r="96" ht="87" customHeight="1" s="47">
      <c r="A96" s="64" t="n">
        <v>92</v>
      </c>
      <c r="B96" s="65" t="inlineStr">
        <is>
          <t>Flow 3 – Payment &amp; Report</t>
        </is>
      </c>
      <c r="C96" s="64" t="inlineStr">
        <is>
          <t>UC-PAY-13</t>
        </is>
      </c>
      <c r="D96" s="65" t="inlineStr">
        <is>
          <t>Nhật ký liên hệ hội viên trong phiếu đối soát (màn S29): mỗi phiếu có dòng thời gian ghi kênh liên hệ (điện thoại/Zalo/email/tại quầy), nội dung, kết quả và trạng thái OPEN → WAITING_MEMBER → RESOLVED.</t>
        </is>
      </c>
      <c r="E96" s="65" t="inlineStr">
        <is>
          <t>Center Manager / Receptionist</t>
        </is>
      </c>
      <c r="F96" s="64" t="n">
        <v>92</v>
      </c>
      <c r="G96" s="64" t="inlineStr">
        <is>
          <t>Medium</t>
        </is>
      </c>
      <c r="H96" s="64" t="inlineStr">
        <is>
          <t>Nhanh</t>
        </is>
      </c>
      <c r="I96" s="64" t="inlineStr">
        <is>
          <t>Khải</t>
        </is>
      </c>
      <c r="J96" s="64" t="inlineStr">
        <is>
          <t>Sprint 3</t>
        </is>
      </c>
      <c r="K96" s="65" t="inlineStr">
        <is>
          <t>20/10 → 02/11</t>
        </is>
      </c>
      <c r="L96" s="65" t="inlineStr">
        <is>
          <t>PAYMENT_WEBHOOK_LOG*, AUDIT_LOG*</t>
        </is>
      </c>
      <c r="M96" s="65" t="inlineStr">
        <is>
          <t>BR-PAY-19: không đóng phiếu DUPLICATE_TRANSFER, OVERPAID hoặc MEMBER_CLAIM khi chưa có ít nhất một lần liên hệ được ghi lại. Ghi chú chỉ thêm, không sửa/xoá (giữ lịch sử theo BR-0.1).</t>
        </is>
      </c>
      <c r="N96" s="66" t="inlineStr">
        <is>
          <t>To Do</t>
        </is>
      </c>
      <c r="O96" s="67" t="inlineStr">
        <is>
          <t>sprint-3/be-nhanh, sprint-3/fe-khai</t>
        </is>
      </c>
    </row>
    <row r="97" ht="100.5" customHeight="1" s="47">
      <c r="A97" s="64" t="n">
        <v>93</v>
      </c>
      <c r="B97" s="65" t="inlineStr">
        <is>
          <t>Flow 3 – Payment &amp; Report</t>
        </is>
      </c>
      <c r="C97" s="64" t="inlineStr">
        <is>
          <t>UC-PAY-14</t>
        </is>
      </c>
      <c r="D97" s="65" t="inlineStr">
        <is>
          <t>Hội viên báo "Tôi đã chuyển khoản" (màn 15, 18): khi đã chuyển nhưng hệ thống chưa ghi nhận (lỗi mạng, webhook chậm, hoá đơn đã hết hạn), hội viên nhập thời điểm, số tiền, ngân hàng và mã giao dịch ⇒ tạo phiếu MEMBER_CLAIM để Manager đối chiếu.</t>
        </is>
      </c>
      <c r="E97" s="65" t="inlineStr">
        <is>
          <t>Member / Center Manager</t>
        </is>
      </c>
      <c r="F97" s="64" t="n">
        <v>93</v>
      </c>
      <c r="G97" s="64" t="inlineStr">
        <is>
          <t>Medium</t>
        </is>
      </c>
      <c r="H97" s="64" t="inlineStr">
        <is>
          <t>Nhanh</t>
        </is>
      </c>
      <c r="I97" s="64" t="inlineStr">
        <is>
          <t>Khôi</t>
        </is>
      </c>
      <c r="J97" s="64" t="inlineStr">
        <is>
          <t>Sprint 3</t>
        </is>
      </c>
      <c r="K97" s="65" t="inlineStr">
        <is>
          <t>20/10 → 02/11</t>
        </is>
      </c>
      <c r="L97" s="65" t="inlineStr">
        <is>
          <t>INVOICE, PAYMENT_WEBHOOK_LOG*, NOTIFICATION</t>
        </is>
      </c>
      <c r="M97" s="65" t="inlineStr">
        <is>
          <t>BR-PAY-20: báo đã chuyển không làm hoá đơn PAID. Manager đối chiếu sao kê/SePay rồi map (#88) hoặc từ chối kèm lý do. Mỗi hoá đơn chỉ có một phiếu MEMBER_CLAIM đang mở; FE mất mạng thì giữ trạng thái "đang kết nối lại", không tạo hoá đơn mới (UC-PAY-03 E1).</t>
        </is>
      </c>
      <c r="N97" s="66" t="inlineStr">
        <is>
          <t>To Do</t>
        </is>
      </c>
      <c r="O97" s="67" t="inlineStr">
        <is>
          <t>sprint-3/be-nhanh, sprint-3/fe-khoi</t>
        </is>
      </c>
    </row>
    <row r="98" ht="87" customHeight="1" s="47">
      <c r="A98" s="64" t="n">
        <v>94</v>
      </c>
      <c r="B98" s="65" t="inlineStr">
        <is>
          <t>Flow 3 – Payment &amp; Report</t>
        </is>
      </c>
      <c r="C98" s="64" t="inlineStr">
        <is>
          <t>UC-PAY-14</t>
        </is>
      </c>
      <c r="D98" s="65" t="inlineStr">
        <is>
          <t>Đồng bộ lại giao dịch bị lỡ webhook (màn S29): Manager bấm "Đồng bộ từ SePay" theo khoảng thời gian; hệ thống lấy danh sách giao dịch tiền vào qua API SePay và xử lý những giao dịch chưa có trong nhật ký như một webhook.</t>
        </is>
      </c>
      <c r="E98" s="65" t="inlineStr">
        <is>
          <t>Center Manager / System</t>
        </is>
      </c>
      <c r="F98" s="64" t="n">
        <v>94</v>
      </c>
      <c r="G98" s="64" t="inlineStr">
        <is>
          <t>Medium</t>
        </is>
      </c>
      <c r="H98" s="64" t="inlineStr">
        <is>
          <t>Nhanh</t>
        </is>
      </c>
      <c r="I98" s="64" t="inlineStr">
        <is>
          <t>—</t>
        </is>
      </c>
      <c r="J98" s="64" t="inlineStr">
        <is>
          <t>Sprint 3</t>
        </is>
      </c>
      <c r="K98" s="65" t="inlineStr">
        <is>
          <t>20/10 → 02/11</t>
        </is>
      </c>
      <c r="L98" s="65" t="inlineStr">
        <is>
          <t>PAYMENT_WEBHOOK_LOG*, INVOICE, PAYMENT</t>
        </is>
      </c>
      <c r="M98" s="65" t="inlineStr">
        <is>
          <t>Idempotent theo id giao dịch SePay (BR-PAY-04) nên đồng bộ nhiều lần không cộng đôi. Token API SePay ở .env, không ghi vào log. Làm nếu kịp; nếu chưa có thì Manager đối chiếu thủ công qua #93.</t>
        </is>
      </c>
      <c r="N98" s="66" t="inlineStr">
        <is>
          <t>To Do</t>
        </is>
      </c>
      <c r="O98" s="67" t="inlineStr">
        <is>
          <t>sprint-3/be-nhanh</t>
        </is>
      </c>
    </row>
    <row r="99" ht="100.5" customHeight="1" s="47">
      <c r="A99" s="64" t="n">
        <v>95</v>
      </c>
      <c r="B99" s="65" t="inlineStr">
        <is>
          <t>Flow 3 – Payment &amp; Report</t>
        </is>
      </c>
      <c r="C99" s="64" t="inlineStr">
        <is>
          <t>UC-PAY-07</t>
        </is>
      </c>
      <c r="D99" s="65" t="inlineStr">
        <is>
          <t>Mẫu hoá đơn PDF chuẩn (màn 16, S30): thiết kế lại hoá đơn in/PDF gồm logo và thông tin trung tâm, mã hoá đơn, hội viên, gói và thời hạn, số tiền bằng số và bằng chữ, các lần thanh toán (kể cả chuyển bù), kênh, người thu, trạng thái; nút Tải PDF và In.</t>
        </is>
      </c>
      <c r="E99" s="65" t="inlineStr">
        <is>
          <t>Receptionist / Member / Center Manager</t>
        </is>
      </c>
      <c r="F99" s="64" t="n">
        <v>95</v>
      </c>
      <c r="G99" s="64" t="inlineStr">
        <is>
          <t>Medium</t>
        </is>
      </c>
      <c r="H99" s="64" t="inlineStr">
        <is>
          <t>Nhanh</t>
        </is>
      </c>
      <c r="I99" s="64" t="inlineStr">
        <is>
          <t>Khải</t>
        </is>
      </c>
      <c r="J99" s="64" t="inlineStr">
        <is>
          <t>Sprint 3</t>
        </is>
      </c>
      <c r="K99" s="65" t="inlineStr">
        <is>
          <t>20/10 → 02/11</t>
        </is>
      </c>
      <c r="L99" s="65" t="inlineStr">
        <is>
          <t>INVOICE, PAYMENT, SYSTEM_SETTING*</t>
        </is>
      </c>
      <c r="M99" s="65" t="inlineStr">
        <is>
          <t>UC-PAY-07: chỉ hoá đơn PAID mới xuất; số tiền lấy từ bản ghi gốc, thông tin trung tâm lấy từ cấu hình. Khổ A5 dọc, in đen trắng vẫn đọc được; hoá đơn có chuyển bù liệt kê đủ từng lần nhận tiền. Rà soát UI phát hiện hội viên chưa có quyền tải biên lai của mình: Nhanh thêm quyền invoice.export_own (BE), Khải làm giao diện.</t>
        </is>
      </c>
      <c r="N99" s="66" t="inlineStr">
        <is>
          <t>To Do</t>
        </is>
      </c>
      <c r="O99" s="67" t="inlineStr">
        <is>
          <t>sprint-3/be-nhanh, sprint-3/fe-khai</t>
        </is>
      </c>
    </row>
    <row r="100" ht="87" customHeight="1" s="47">
      <c r="A100" s="64" t="n">
        <v>96</v>
      </c>
      <c r="B100" s="65" t="inlineStr">
        <is>
          <t>Flow 3 – Payment &amp; Report</t>
        </is>
      </c>
      <c r="C100" s="64" t="inlineStr">
        <is>
          <t>UC-PAY-12</t>
        </is>
      </c>
      <c r="D100" s="65" t="inlineStr">
        <is>
          <t>Thông báo kết quả đối soát cho hội viên: gửi in-app và email khi giao dịch được ghi nhận, khi cần chuyển bù (kèm số còn thiếu và hạn), khi có khoản sẽ được hoàn và khi phiếu báo đã chuyển bị từ chối.</t>
        </is>
      </c>
      <c r="E100" s="65" t="inlineStr">
        <is>
          <t>System</t>
        </is>
      </c>
      <c r="F100" s="64" t="n">
        <v>96</v>
      </c>
      <c r="G100" s="64" t="inlineStr">
        <is>
          <t>Simple</t>
        </is>
      </c>
      <c r="H100" s="64" t="inlineStr">
        <is>
          <t>Nhanh</t>
        </is>
      </c>
      <c r="I100" s="64" t="inlineStr">
        <is>
          <t>—</t>
        </is>
      </c>
      <c r="J100" s="64" t="inlineStr">
        <is>
          <t>Sprint 3</t>
        </is>
      </c>
      <c r="K100" s="65" t="inlineStr">
        <is>
          <t>20/10 → 02/11</t>
        </is>
      </c>
      <c r="L100" s="65" t="inlineStr">
        <is>
          <t>NOTIFICATION, INVOICE</t>
        </is>
      </c>
      <c r="M100" s="65" t="inlineStr">
        <is>
          <t>Dùng notification.service có dedupeKey để không gửi trùng; lỗi gửi mail không làm hỏng kết quả đối soát (gửi sau commit như BR-PAY-09).</t>
        </is>
      </c>
      <c r="N100" s="66" t="inlineStr">
        <is>
          <t>To Do</t>
        </is>
      </c>
      <c r="O100" s="67" t="inlineStr">
        <is>
          <t>sprint-3/be-nhanh</t>
        </is>
      </c>
    </row>
    <row r="101" ht="87" customHeight="1" s="47">
      <c r="A101" s="64" t="n">
        <v>97</v>
      </c>
      <c r="B101" s="65" t="inlineStr">
        <is>
          <t>Flow 3 – Payment &amp; Report</t>
        </is>
      </c>
      <c r="C101" s="64" t="inlineStr">
        <is>
          <t>Kiểm thử</t>
        </is>
      </c>
      <c r="D101" s="65" t="inlineStr">
        <is>
          <t>Test E2E đối soát SePay: giả lập webhook sai mã → map; chuyển thiếu → chuyển bù → PAID → in PDF; chuyển thừa → hoàn phần thừa; chuyển 2 lần → cảnh báo → liên hệ → hoàn; báo đã chuyển → Manager duyệt.</t>
        </is>
      </c>
      <c r="E101" s="65" t="inlineStr">
        <is>
          <t>—</t>
        </is>
      </c>
      <c r="F101" s="64" t="n">
        <v>97</v>
      </c>
      <c r="G101" s="64" t="inlineStr">
        <is>
          <t>Medium</t>
        </is>
      </c>
      <c r="H101" s="64" t="inlineStr">
        <is>
          <t>Khôi</t>
        </is>
      </c>
      <c r="I101" s="64" t="inlineStr">
        <is>
          <t>—</t>
        </is>
      </c>
      <c r="J101" s="64" t="inlineStr">
        <is>
          <t>Sprint 3</t>
        </is>
      </c>
      <c r="K101" s="65" t="inlineStr">
        <is>
          <t>20/10 → 02/11</t>
        </is>
      </c>
      <c r="L101" s="65" t="inlineStr">
        <is>
          <t>—</t>
        </is>
      </c>
      <c r="M101" s="65" t="inlineStr">
        <is>
          <t>Gọi webhook bằng API key test; chạy desktop 1366×900 như các E2E hiện có; ảnh đưa vào báo cáo nghiệm thu SePay.</t>
        </is>
      </c>
      <c r="N101" s="66" t="inlineStr">
        <is>
          <t>To Do</t>
        </is>
      </c>
      <c r="O101" s="67" t="inlineStr">
        <is>
          <t>sprint-3/be-khoi</t>
        </is>
      </c>
    </row>
    <row r="102" ht="73.5" customHeight="1" s="47">
      <c r="A102" s="60" t="n">
        <v>98</v>
      </c>
      <c r="B102" s="61" t="inlineStr">
        <is>
          <t>Flow 1 – User &amp; Membership</t>
        </is>
      </c>
      <c r="C102" s="60" t="inlineStr">
        <is>
          <t>UC-UM-11</t>
        </is>
      </c>
      <c r="D102" s="61" t="inlineStr">
        <is>
          <t>Tạm khoá đăng nhập khi nhập sai mật khẩu nhiều lần (màn 1): sai liên tiếp N lần thì khoá đăng nhập M phút, màn đăng nhập báo thời gian còn lại và gợi ý quên mật khẩu.</t>
        </is>
      </c>
      <c r="E102" s="61" t="inlineStr">
        <is>
          <t>Tất cả tài khoản</t>
        </is>
      </c>
      <c r="F102" s="60" t="n">
        <v>98</v>
      </c>
      <c r="G102" s="60" t="inlineStr">
        <is>
          <t>Medium</t>
        </is>
      </c>
      <c r="H102" s="60" t="inlineStr">
        <is>
          <t>Khôi</t>
        </is>
      </c>
      <c r="I102" s="60" t="inlineStr">
        <is>
          <t>Khôi</t>
        </is>
      </c>
      <c r="J102" s="60" t="inlineStr">
        <is>
          <t>Sprint 3</t>
        </is>
      </c>
      <c r="K102" s="61" t="inlineStr">
        <is>
          <t>20/10 → 02/11</t>
        </is>
      </c>
      <c r="L102" s="61" t="inlineStr">
        <is>
          <t>USER, SYSTEM_SETTING*, AUDIT_LOG*</t>
        </is>
      </c>
      <c r="M102" s="61" t="inlineStr">
        <is>
          <t>BR-1.14: N = LOGIN_MAX_FAILED_ATTEMPTS (mặc định 5), M = LOGIN_LOCK_MINUTES (mặc định 15) trong system_settings. Đăng nhập đúng thì đếm lại từ 0; đặt lại mật khẩu thành công thì mở khoá. Thông báo không tiết lộ tài khoản có tồn tại. Nhanh review phần BE.</t>
        </is>
      </c>
      <c r="N102" s="62" t="inlineStr">
        <is>
          <t>To Do</t>
        </is>
      </c>
      <c r="O102" s="63" t="inlineStr">
        <is>
          <t>sprint-3/be-khoi, sprint-3/fe-khoi</t>
        </is>
      </c>
    </row>
    <row r="103" ht="87" customHeight="1" s="47">
      <c r="A103" s="60" t="n">
        <v>99</v>
      </c>
      <c r="B103" s="61" t="inlineStr">
        <is>
          <t>Flow 1 – User &amp; Membership</t>
        </is>
      </c>
      <c r="C103" s="60" t="inlineStr">
        <is>
          <t>UC-UM-05</t>
        </is>
      </c>
      <c r="D103" s="61" t="inlineStr">
        <is>
          <t>Đăng ký tại quầy bị trùng SĐT/email (màn 5): thay vì chỉ báo lỗi, hiện thẻ hồ sơ đang có (tên, SĐT che bớt, trạng thái, gói) và nút "Mở hồ sơ này" để lễ tân bán gói tiếp; hồ sơ bị khoá thì hướng dẫn liên hệ quản lý.</t>
        </is>
      </c>
      <c r="E103" s="61" t="inlineStr">
        <is>
          <t>Receptionist</t>
        </is>
      </c>
      <c r="F103" s="60" t="n">
        <v>99</v>
      </c>
      <c r="G103" s="60" t="inlineStr">
        <is>
          <t>Simple</t>
        </is>
      </c>
      <c r="H103" s="60" t="inlineStr">
        <is>
          <t>Khải</t>
        </is>
      </c>
      <c r="I103" s="60" t="inlineStr">
        <is>
          <t>Khải</t>
        </is>
      </c>
      <c r="J103" s="60" t="inlineStr">
        <is>
          <t>Sprint 3</t>
        </is>
      </c>
      <c r="K103" s="61" t="inlineStr">
        <is>
          <t>20/10 → 02/11</t>
        </is>
      </c>
      <c r="L103" s="61" t="inlineStr">
        <is>
          <t>USER, MEMBERSHIP</t>
        </is>
      </c>
      <c r="M103" s="61" t="inlineStr">
        <is>
          <t>BR-1.1/1.10: không tạo hồ sơ trùng. Chỉ trả thông tin hồ sơ trùng cho người có member.read; khách tự đăng ký online vẫn chỉ nhận thông báo chung.</t>
        </is>
      </c>
      <c r="N103" s="62" t="inlineStr">
        <is>
          <t>To Do</t>
        </is>
      </c>
      <c r="O103" s="63" t="inlineStr">
        <is>
          <t>sprint-3/be-khai, sprint-3/fe-khai</t>
        </is>
      </c>
    </row>
    <row r="104" ht="73.5" customHeight="1" s="47">
      <c r="A104" s="60" t="n">
        <v>100</v>
      </c>
      <c r="B104" s="61" t="inlineStr">
        <is>
          <t>Flow 1 – User &amp; Membership</t>
        </is>
      </c>
      <c r="C104" s="60" t="inlineStr">
        <is>
          <t>UC-UM-09</t>
        </is>
      </c>
      <c r="D104" s="61" t="inlineStr">
        <is>
          <t>Khoá tài khoản đang có lịch (màn 8, S22): khoá hội viên có booking tương lai thì hộp thoại liệt kê các buổi và hỏi huỷ để nhả chỗ; khoá HLV đang dạy lớp mở thì chặn và dẫn sang đổi HLV (#105).</t>
        </is>
      </c>
      <c r="E104" s="61" t="inlineStr">
        <is>
          <t>Center Manager</t>
        </is>
      </c>
      <c r="F104" s="60" t="n">
        <v>100</v>
      </c>
      <c r="G104" s="60" t="inlineStr">
        <is>
          <t>Medium</t>
        </is>
      </c>
      <c r="H104" s="60" t="inlineStr">
        <is>
          <t>Bảo</t>
        </is>
      </c>
      <c r="I104" s="60" t="inlineStr">
        <is>
          <t>Khôi</t>
        </is>
      </c>
      <c r="J104" s="60" t="inlineStr">
        <is>
          <t>Sprint 3</t>
        </is>
      </c>
      <c r="K104" s="61" t="inlineStr">
        <is>
          <t>20/10 → 02/11</t>
        </is>
      </c>
      <c r="L104" s="61" t="inlineStr">
        <is>
          <t>USER, ENROLLMENT, CLASS, NOTIFICATION, AUDIT_LOG*</t>
        </is>
      </c>
      <c r="M104" s="61" t="inlineStr">
        <is>
          <t>BR-1.15 và BR-2.13: khoá hội viên thì các booking tương lai chuyển CANCELLED (cancelled_by = Manager), hội viên và người trong danh sách chờ được thông báo. HLV còn lớp OPEN thì trả 409 kèm danh sách lớp.</t>
        </is>
      </c>
      <c r="N104" s="62" t="inlineStr">
        <is>
          <t>To Do</t>
        </is>
      </c>
      <c r="O104" s="63" t="inlineStr">
        <is>
          <t>sprint-3/be-bao, sprint-3/fe-khoi</t>
        </is>
      </c>
    </row>
    <row r="105" ht="87" customHeight="1" s="47">
      <c r="A105" s="60" t="n">
        <v>101</v>
      </c>
      <c r="B105" s="61" t="inlineStr">
        <is>
          <t>Flow 1 – User &amp; Membership</t>
        </is>
      </c>
      <c r="C105" s="60" t="inlineStr">
        <is>
          <t>UC-UM-20</t>
        </is>
      </c>
      <c r="D105" s="61" t="inlineStr">
        <is>
          <t>Bảo lưu gói tập (màn 4, S22): hội viên hoặc lễ tân tạm dừng gói đang hiệu lực từ ngày A đến ngày B; trong thời gian bảo lưu không đăng ký lớp mới, hết bảo lưu thì ngày hết hạn được cộng thêm số ngày đã dừng.</t>
        </is>
      </c>
      <c r="E105" s="61" t="inlineStr">
        <is>
          <t>Member / Receptionist</t>
        </is>
      </c>
      <c r="F105" s="60" t="n">
        <v>101</v>
      </c>
      <c r="G105" s="60" t="inlineStr">
        <is>
          <t>Complex</t>
        </is>
      </c>
      <c r="H105" s="60" t="inlineStr">
        <is>
          <t>Bảo</t>
        </is>
      </c>
      <c r="I105" s="60" t="inlineStr">
        <is>
          <t>Khải</t>
        </is>
      </c>
      <c r="J105" s="60" t="inlineStr">
        <is>
          <t>Sprint 3</t>
        </is>
      </c>
      <c r="K105" s="61" t="inlineStr">
        <is>
          <t>20/10 → 02/11</t>
        </is>
      </c>
      <c r="L105" s="61" t="inlineStr">
        <is>
          <t>MEMBERSHIP, MEMBERSHIP_FREEZE*, ENROLLMENT, AUDIT_LOG*</t>
        </is>
      </c>
      <c r="M105" s="61" t="inlineStr">
        <is>
          <t>BR-1.16: mỗi lần tối thiểu 7 và tối đa MEMBERSHIP_FREEZE_MAX_DAYS ngày, tối đa MEMBERSHIP_FREEZE_MAX_TIMES lần trong một gói (system_settings). Không bảo lưu khi còn booking trong khoảng đó (phải huỷ trước) hoặc gói còn dưới 7 ngày. Kết thúc sớm thì chỉ cộng số ngày thực dừng. Ghi audit.</t>
        </is>
      </c>
      <c r="N105" s="62" t="inlineStr">
        <is>
          <t>To Do</t>
        </is>
      </c>
      <c r="O105" s="63" t="inlineStr">
        <is>
          <t>sprint-3/be-bao, sprint-3/fe-khai</t>
        </is>
      </c>
    </row>
    <row r="106" ht="87" customHeight="1" s="47">
      <c r="A106" s="60" t="n">
        <v>102</v>
      </c>
      <c r="B106" s="61" t="inlineStr">
        <is>
          <t>Flow 1 – User &amp; Membership</t>
        </is>
      </c>
      <c r="C106" s="60" t="inlineStr">
        <is>
          <t>UC-UM-08</t>
        </is>
      </c>
      <c r="D106" s="61" t="inlineStr">
        <is>
          <t>Đổi giá / ngừng bán gói khi đang có hoá đơn chờ thanh toán: hoá đơn PENDING giữ nguyên giá và thời hạn đã chốt lúc tạo, vẫn thanh toán được đến khi hết hạn; tạo hoá đơn mới thì không chọn được gói đã ngừng bán.</t>
        </is>
      </c>
      <c r="E106" s="61" t="inlineStr">
        <is>
          <t>Center Manager / System</t>
        </is>
      </c>
      <c r="F106" s="60" t="n">
        <v>102</v>
      </c>
      <c r="G106" s="60" t="inlineStr">
        <is>
          <t>Simple</t>
        </is>
      </c>
      <c r="H106" s="60" t="inlineStr">
        <is>
          <t>Nhanh</t>
        </is>
      </c>
      <c r="I106" s="60" t="inlineStr">
        <is>
          <t>—</t>
        </is>
      </c>
      <c r="J106" s="60" t="inlineStr">
        <is>
          <t>Sprint 3</t>
        </is>
      </c>
      <c r="K106" s="61" t="inlineStr">
        <is>
          <t>20/10 → 02/11</t>
        </is>
      </c>
      <c r="L106" s="61" t="inlineStr">
        <is>
          <t>MEMBERSHIP_PLAN, INVOICE</t>
        </is>
      </c>
      <c r="M106" s="61" t="inlineStr">
        <is>
          <t>BR-1.6 và BR-1.17: giá trên hoá đơn là bản chốt (planName, durationDays, amount), webhook so với số tiền trên hoá đơn chứ không so với giá gói hiện tại. Bổ sung test tích hợp cho cả hai trường hợp.</t>
        </is>
      </c>
      <c r="N106" s="62" t="inlineStr">
        <is>
          <t>To Do</t>
        </is>
      </c>
      <c r="O106" s="63" t="inlineStr">
        <is>
          <t>sprint-3/be-nhanh</t>
        </is>
      </c>
    </row>
    <row r="107" ht="87" customHeight="1" s="47">
      <c r="A107" s="68" t="n">
        <v>103</v>
      </c>
      <c r="B107" s="69" t="inlineStr">
        <is>
          <t>Flow 2 – Class Booking &amp; Schedule</t>
        </is>
      </c>
      <c r="C107" s="68" t="inlineStr">
        <is>
          <t>UC-CB-19</t>
        </is>
      </c>
      <c r="D107" s="69" t="inlineStr">
        <is>
          <t>Danh sách chờ khi lớp đầy (màn 9, S24): hội viên bấm "Vào danh sách chờ" khi lớp hết chỗ; khi có người huỷ, người đứng đầu được giữ chỗ trong X giờ và nhận thông báo để xác nhận, quá hạn thì chuyển cho người kế tiếp.</t>
        </is>
      </c>
      <c r="E107" s="69" t="inlineStr">
        <is>
          <t>Member / System</t>
        </is>
      </c>
      <c r="F107" s="68" t="n">
        <v>103</v>
      </c>
      <c r="G107" s="68" t="inlineStr">
        <is>
          <t>Complex</t>
        </is>
      </c>
      <c r="H107" s="68" t="inlineStr">
        <is>
          <t>Bảo</t>
        </is>
      </c>
      <c r="I107" s="68" t="inlineStr">
        <is>
          <t>Khải</t>
        </is>
      </c>
      <c r="J107" s="68" t="inlineStr">
        <is>
          <t>Sprint 3</t>
        </is>
      </c>
      <c r="K107" s="69" t="inlineStr">
        <is>
          <t>20/10 → 02/11</t>
        </is>
      </c>
      <c r="L107" s="69" t="inlineStr">
        <is>
          <t>CLASS, ENROLLMENT, CLASS_WAITLIST*, NOTIFICATION</t>
        </is>
      </c>
      <c r="M107" s="69" t="inlineStr">
        <is>
          <t>BR-2.16: vào danh sách chờ vẫn phải qua kiểm tra gói còn hạn và không trùng giờ; thứ tự theo thời điểm vào. X = CLASS_WAITLIST_HOLD_HOURS (mặc định 12). Giữ chỗ và chuyển người kế tiếp chạy trong transaction để không vượt sức chứa (BR-2.2).</t>
        </is>
      </c>
      <c r="N107" s="70" t="inlineStr">
        <is>
          <t>To Do</t>
        </is>
      </c>
      <c r="O107" s="71" t="inlineStr">
        <is>
          <t>sprint-3/be-bao, sprint-3/fe-khai</t>
        </is>
      </c>
    </row>
    <row r="108" ht="73.5" customHeight="1" s="47">
      <c r="A108" s="68" t="n">
        <v>104</v>
      </c>
      <c r="B108" s="69" t="inlineStr">
        <is>
          <t>Flow 2 – Class Booking &amp; Schedule</t>
        </is>
      </c>
      <c r="C108" s="68" t="inlineStr">
        <is>
          <t>UC-CB-06</t>
        </is>
      </c>
      <c r="D108" s="69" t="inlineStr">
        <is>
          <t>Cảnh báo gói hết hạn trước khi lớp kết thúc (màn 9): khi đăng ký, nếu ngày hết hạn gói sớm hơn ngày kết thúc lớp thì hiện cảnh báo số buổi sau ngày hết hạn và nút gia hạn ngay.</t>
        </is>
      </c>
      <c r="E108" s="69" t="inlineStr">
        <is>
          <t>Member / Receptionist</t>
        </is>
      </c>
      <c r="F108" s="68" t="n">
        <v>104</v>
      </c>
      <c r="G108" s="68" t="inlineStr">
        <is>
          <t>Simple</t>
        </is>
      </c>
      <c r="H108" s="68" t="inlineStr">
        <is>
          <t>Khải</t>
        </is>
      </c>
      <c r="I108" s="68" t="inlineStr">
        <is>
          <t>Khải</t>
        </is>
      </c>
      <c r="J108" s="68" t="inlineStr">
        <is>
          <t>Sprint 3</t>
        </is>
      </c>
      <c r="K108" s="69" t="inlineStr">
        <is>
          <t>20/10 → 02/11</t>
        </is>
      </c>
      <c r="L108" s="69" t="inlineStr">
        <is>
          <t>MEMBERSHIP, CLASS, CLASS_SESSION</t>
        </is>
      </c>
      <c r="M108" s="69" t="inlineStr">
        <is>
          <t>BR-1.12: vẫn cho đăng ký (booking giữ đến hết lớp), chỉ cảnh báo để hội viên chủ động gia hạn. BE trả thêm cờ và số buổi bị ảnh hưởng trong kết quả kiểm tra đăng ký.</t>
        </is>
      </c>
      <c r="N108" s="70" t="inlineStr">
        <is>
          <t>To Do</t>
        </is>
      </c>
      <c r="O108" s="71" t="inlineStr">
        <is>
          <t>sprint-3/be-khai, sprint-3/fe-khai</t>
        </is>
      </c>
    </row>
    <row r="109" ht="73.5" customHeight="1" s="47">
      <c r="A109" s="68" t="n">
        <v>105</v>
      </c>
      <c r="B109" s="69" t="inlineStr">
        <is>
          <t>Flow 2 – Class Booking &amp; Schedule</t>
        </is>
      </c>
      <c r="C109" s="68" t="inlineStr">
        <is>
          <t>UC-CB-03</t>
        </is>
      </c>
      <c r="D109" s="69" t="inlineStr">
        <is>
          <t>Đổi HLV phụ trách lớp (màn 12, S26): Manager chọn HLV thay thế cho cả lớp hoặc từ một ngày trở đi; hệ thống kiểm tra trùng lịch của HLV mới rồi thông báo cho hội viên, HLV cũ và HLV mới.</t>
        </is>
      </c>
      <c r="E109" s="69" t="inlineStr">
        <is>
          <t>Center Manager</t>
        </is>
      </c>
      <c r="F109" s="68" t="n">
        <v>105</v>
      </c>
      <c r="G109" s="68" t="inlineStr">
        <is>
          <t>Medium</t>
        </is>
      </c>
      <c r="H109" s="68" t="inlineStr">
        <is>
          <t>Bảo</t>
        </is>
      </c>
      <c r="I109" s="68" t="inlineStr">
        <is>
          <t>Khôi</t>
        </is>
      </c>
      <c r="J109" s="68" t="inlineStr">
        <is>
          <t>Sprint 3</t>
        </is>
      </c>
      <c r="K109" s="69" t="inlineStr">
        <is>
          <t>20/10 → 02/11</t>
        </is>
      </c>
      <c r="L109" s="69" t="inlineStr">
        <is>
          <t>CLASS, CLASS_SESSION, USER, NOTIFICATION, AUDIT_LOG*</t>
        </is>
      </c>
      <c r="M109" s="69" t="inlineStr">
        <is>
          <t>BR-2.4/2.13: HLV mới phải ACTIVE và không trùng buổi nào. Chỉ đổi buổi chưa diễn ra; buổi đã qua giữ HLV cũ để lịch sử điểm danh đúng. Dùng cho trường hợp khoá HLV (#100).</t>
        </is>
      </c>
      <c r="N109" s="70" t="inlineStr">
        <is>
          <t>To Do</t>
        </is>
      </c>
      <c r="O109" s="71" t="inlineStr">
        <is>
          <t>sprint-3/be-bao, sprint-3/fe-khoi</t>
        </is>
      </c>
    </row>
    <row r="110" ht="87" customHeight="1" s="47">
      <c r="A110" s="68" t="n">
        <v>106</v>
      </c>
      <c r="B110" s="69" t="inlineStr">
        <is>
          <t>Flow 2 – Class Booking &amp; Schedule</t>
        </is>
      </c>
      <c r="C110" s="68" t="inlineStr">
        <is>
          <t>UC-CB-14</t>
        </is>
      </c>
      <c r="D110" s="69" t="inlineStr">
        <is>
          <t>Phòng tạm ngưng để bảo trì (màn 13): Manager đặt phòng ngưng từ ngày A đến B; hệ thống liệt kê các buổi bị ảnh hưởng và gợi ý phòng trống cùng giờ đủ sức chứa để chuyển hàng loạt, buổi không chuyển được thì huỷ buổi (#53).</t>
        </is>
      </c>
      <c r="E110" s="69" t="inlineStr">
        <is>
          <t>Center Manager</t>
        </is>
      </c>
      <c r="F110" s="68" t="n">
        <v>106</v>
      </c>
      <c r="G110" s="68" t="inlineStr">
        <is>
          <t>Medium</t>
        </is>
      </c>
      <c r="H110" s="68" t="inlineStr">
        <is>
          <t>Bảo</t>
        </is>
      </c>
      <c r="I110" s="68" t="inlineStr">
        <is>
          <t>Khôi</t>
        </is>
      </c>
      <c r="J110" s="68" t="inlineStr">
        <is>
          <t>Sprint 3</t>
        </is>
      </c>
      <c r="K110" s="69" t="inlineStr">
        <is>
          <t>20/10 → 02/11</t>
        </is>
      </c>
      <c r="L110" s="69" t="inlineStr">
        <is>
          <t>ROOM*, CLASS_SESSION, ENROLLMENT, NOTIFICATION</t>
        </is>
      </c>
      <c r="M110" s="69" t="inlineStr">
        <is>
          <t>BR-2.4/2.10: phòng mới không trùng giờ và sức chứa ≥ số đã đăng ký. Hội viên của buổi bị đổi phòng hoặc bị huỷ nhận thông báo (BR-2.7); không xoá buổi, chỉ đổi trạng thái.</t>
        </is>
      </c>
      <c r="N110" s="70" t="inlineStr">
        <is>
          <t>To Do</t>
        </is>
      </c>
      <c r="O110" s="71" t="inlineStr">
        <is>
          <t>sprint-3/be-bao, sprint-3/fe-khoi</t>
        </is>
      </c>
    </row>
    <row r="111" ht="87" customHeight="1" s="47">
      <c r="A111" s="68" t="n">
        <v>107</v>
      </c>
      <c r="B111" s="69" t="inlineStr">
        <is>
          <t>Flow 2 – Class Booking &amp; Schedule</t>
        </is>
      </c>
      <c r="C111" s="68" t="inlineStr">
        <is>
          <t>UC-CB-20</t>
        </is>
      </c>
      <c r="D111" s="69" t="inlineStr">
        <is>
          <t>Tạm chặn đăng ký khi vắng mặt nhiều lần (màn 9, S22): hội viên vắng không huỷ trước từ N buổi trong M ngày bị chặn đăng ký lớp mới K ngày; màn đăng ký hiện lý do và ngày được đăng ký lại, lễ tân/Manager có quyền gỡ chặn kèm lý do.</t>
        </is>
      </c>
      <c r="E111" s="69" t="inlineStr">
        <is>
          <t>Member / Receptionist / Center Manager</t>
        </is>
      </c>
      <c r="F111" s="68" t="n">
        <v>107</v>
      </c>
      <c r="G111" s="68" t="inlineStr">
        <is>
          <t>Medium</t>
        </is>
      </c>
      <c r="H111" s="68" t="inlineStr">
        <is>
          <t>Bảo</t>
        </is>
      </c>
      <c r="I111" s="68" t="inlineStr">
        <is>
          <t>Khải</t>
        </is>
      </c>
      <c r="J111" s="68" t="inlineStr">
        <is>
          <t>Sprint 3</t>
        </is>
      </c>
      <c r="K111" s="69" t="inlineStr">
        <is>
          <t>20/10 → 02/11</t>
        </is>
      </c>
      <c r="L111" s="69" t="inlineStr">
        <is>
          <t>SESSION_ATTENDANCE, ENROLLMENT, USER, AUDIT_LOG*</t>
        </is>
      </c>
      <c r="M111" s="69" t="inlineStr">
        <is>
          <t>BR-2.17: N = CLASS_NO_SHOW_LIMIT (mặc định 3), M = CLASS_NO_SHOW_WINDOW_DAYS (30), K = CLASS_NO_SHOW_BLOCK_DAYS (7). Chỉ tính buổi đã điểm danh vắng (#63); buổi bị huỷ hoặc đổi lịch không tính. Không ảnh hưởng booking đã có.</t>
        </is>
      </c>
      <c r="N111" s="70" t="inlineStr">
        <is>
          <t>To Do</t>
        </is>
      </c>
      <c r="O111" s="71" t="inlineStr">
        <is>
          <t>sprint-3/be-bao, sprint-3/fe-khai</t>
        </is>
      </c>
    </row>
    <row r="112" ht="73.5" customHeight="1" s="47">
      <c r="A112" s="68" t="n">
        <v>108</v>
      </c>
      <c r="B112" s="69" t="inlineStr">
        <is>
          <t>Flow 2 – Class Booking &amp; Schedule</t>
        </is>
      </c>
      <c r="C112" s="68" t="inlineStr">
        <is>
          <t>Kiểm thử</t>
        </is>
      </c>
      <c r="D112" s="69" t="inlineStr">
        <is>
          <t>Test E2E ngoại lệ Flow 1 và 2: khoá đăng nhập sau N lần sai, đăng ký tại quầy trùng SĐT, bảo lưu gói, danh sách chờ, đổi HLV, phòng bảo trì, chặn do vắng mặt.</t>
        </is>
      </c>
      <c r="E112" s="69" t="inlineStr">
        <is>
          <t>—</t>
        </is>
      </c>
      <c r="F112" s="68" t="n">
        <v>108</v>
      </c>
      <c r="G112" s="68" t="inlineStr">
        <is>
          <t>Medium</t>
        </is>
      </c>
      <c r="H112" s="68" t="inlineStr">
        <is>
          <t>Khải</t>
        </is>
      </c>
      <c r="I112" s="68" t="inlineStr">
        <is>
          <t>—</t>
        </is>
      </c>
      <c r="J112" s="68" t="inlineStr">
        <is>
          <t>Sprint 3</t>
        </is>
      </c>
      <c r="K112" s="69" t="inlineStr">
        <is>
          <t>20/10 → 02/11</t>
        </is>
      </c>
      <c r="L112" s="69" t="inlineStr">
        <is>
          <t>—</t>
        </is>
      </c>
      <c r="M112" s="69" t="inlineStr">
        <is>
          <t>Mỗi ngoại lệ có ít nhất một ca test tích hợp BE và một ca E2E desktop; cập nhật SWP391_TestCase.xlsx.</t>
        </is>
      </c>
      <c r="N112" s="70" t="inlineStr">
        <is>
          <t>To Do</t>
        </is>
      </c>
      <c r="O112" s="71" t="inlineStr">
        <is>
          <t>sprint-3/be-khai</t>
        </is>
      </c>
    </row>
    <row r="113" ht="73.5" customHeight="1" s="47">
      <c r="A113" s="80" t="n">
        <v>109</v>
      </c>
      <c r="B113" s="81" t="inlineStr">
        <is>
          <t>Khác – Tài liệu &amp; chất lượng</t>
        </is>
      </c>
      <c r="C113" s="80" t="inlineStr">
        <is>
          <t>Tài liệu</t>
        </is>
      </c>
      <c r="D113" s="81" t="inlineStr">
        <is>
          <t>Bổ sung đặc tả UC-PAY-11 đến 14, UC-UM-20, UC-CB-19, UC-CB-20; business rule BR-1.14 đến 1.17, BR-2.16, 2.17, BR-PAY-15 đến 20; sơ đồ flow 1.5, 2.9, 3.17, 3.18; báo cáo rà soát UI Flow 1, 2.</t>
        </is>
      </c>
      <c r="E113" s="81" t="inlineStr">
        <is>
          <t>—</t>
        </is>
      </c>
      <c r="F113" s="80" t="n">
        <v>109</v>
      </c>
      <c r="G113" s="80" t="inlineStr">
        <is>
          <t>Simple</t>
        </is>
      </c>
      <c r="H113" s="80" t="inlineStr">
        <is>
          <t>Nhanh</t>
        </is>
      </c>
      <c r="I113" s="80" t="inlineStr">
        <is>
          <t>—</t>
        </is>
      </c>
      <c r="J113" s="80" t="inlineStr">
        <is>
          <t>Sprint 3</t>
        </is>
      </c>
      <c r="K113" s="81" t="inlineStr">
        <is>
          <t>13/10 → 14/10 (bổ sung)</t>
        </is>
      </c>
      <c r="L113" s="81" t="inlineStr">
        <is>
          <t>—</t>
        </is>
      </c>
      <c r="M113" s="81" t="inlineStr">
        <is>
          <t>Không có business rule riêng; tài liệu là nguồn cho các task #88–#108.</t>
        </is>
      </c>
      <c r="N113" s="82" t="inlineStr">
        <is>
          <t>Review</t>
        </is>
      </c>
      <c r="O113" s="83" t="inlineStr">
        <is>
          <t>feature/f3-sepay-online-payment</t>
        </is>
      </c>
    </row>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autoFilter ref="A4:O113"/>
  <mergeCells count="3">
    <mergeCell ref="A1:O1"/>
    <mergeCell ref="A3:O3"/>
    <mergeCell ref="A2:O2"/>
  </mergeCells>
  <conditionalFormatting sqref="G5:G113">
    <cfRule type="containsText" rank="0" priority="2" equalAverage="0" operator="containsText" aboveAverage="0" dxfId="17" text="Simple" percent="0" bottom="0">
      <formula>NOT(ISERROR(SEARCH("Simple",G5)))</formula>
    </cfRule>
    <cfRule type="containsText" rank="0" priority="3" equalAverage="0" operator="containsText" aboveAverage="0" dxfId="18" text="Medium" percent="0" bottom="0">
      <formula>NOT(ISERROR(SEARCH("Medium",G5)))</formula>
    </cfRule>
    <cfRule type="containsText" rank="0" priority="4" equalAverage="0" operator="containsText" aboveAverage="0" dxfId="19" text="Complex" percent="0" bottom="0">
      <formula>NOT(ISERROR(SEARCH("Complex",G5)))</formula>
    </cfRule>
  </conditionalFormatting>
  <conditionalFormatting sqref="N5:N113">
    <cfRule type="cellIs" rank="0" priority="5" equalAverage="0" operator="equal" aboveAverage="0" dxfId="20" text="" percent="0" bottom="0">
      <formula>"Done"</formula>
    </cfRule>
    <cfRule type="cellIs" rank="0" priority="6" equalAverage="0" operator="equal" aboveAverage="0" dxfId="21" text="" percent="0" bottom="0">
      <formula>"Review"</formula>
    </cfRule>
    <cfRule type="cellIs" rank="0" priority="7" equalAverage="0" operator="equal" aboveAverage="0" dxfId="22" text="" percent="0" bottom="0">
      <formula>"In Progress"</formula>
    </cfRule>
    <cfRule type="cellIs" rank="0" priority="8" equalAverage="0" operator="equal" aboveAverage="0" dxfId="23" text="" percent="0" bottom="0">
      <formula>"To Do"</formula>
    </cfRule>
  </conditionalFormatting>
  <dataValidations count="1">
    <dataValidation sqref="N5:N113" showDropDown="0" showInputMessage="0" showErrorMessage="0" allowBlank="1" type="list">
      <formula1>"To Do,In Progress,Review,Done"</formula1>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M2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baseColWidth="8" defaultColWidth="12.62890625" defaultRowHeight="15" customHeight="1" zeroHeight="0" outlineLevelRow="0"/>
  <cols>
    <col width="20" customWidth="1" style="46" min="1" max="1"/>
    <col width="26" customWidth="1" style="46" min="2" max="2"/>
    <col width="12" customWidth="1" style="46" min="3" max="4"/>
    <col width="14" customWidth="1" style="46" min="5" max="5"/>
    <col width="10" customWidth="1" style="46" min="6" max="8"/>
    <col width="58" customWidth="1" style="46" min="9" max="9"/>
    <col width="12" customWidth="1" style="46" min="10" max="26"/>
  </cols>
  <sheetData>
    <row r="1" ht="27.75" customHeight="1" s="47">
      <c r="A1" s="56" t="inlineStr">
        <is>
          <t>SPRINT SUMMARY – USE CASE POINT v3 (đã gộp Sprint 0 vào Sprint 1)</t>
        </is>
      </c>
    </row>
    <row r="2" ht="15" customHeight="1" s="47">
      <c r="A2" s="57" t="inlineStr">
        <is>
          <t>Tổng hợp tự động từ tab Phân chia UC: 109 function. Kế hoạch gốc v3 (22/09/2026) có 76 function; #77–87 Nhanh làm trước Sprint 3; #88–109 bổ sung 14/10/2026 (SePay đối soát, ngoại lệ Flow 1, 2, kiểm thử, tài liệu).</t>
        </is>
      </c>
    </row>
    <row r="3" ht="15" customHeight="1" s="47">
      <c r="A3" s="84" t="n"/>
      <c r="B3" s="84" t="n"/>
      <c r="C3" s="84" t="n"/>
      <c r="D3" s="84" t="n"/>
      <c r="E3" s="84" t="n"/>
      <c r="F3" s="84" t="n"/>
      <c r="G3" s="84" t="n"/>
      <c r="H3" s="84" t="n"/>
      <c r="I3" s="84" t="n"/>
    </row>
    <row r="4" ht="31.5" customHeight="1" s="47">
      <c r="A4" s="85" t="inlineStr">
        <is>
          <t>Sprint</t>
        </is>
      </c>
      <c r="B4" s="85" t="inlineStr">
        <is>
          <t>From–To</t>
        </is>
      </c>
      <c r="C4" s="85" t="inlineStr">
        <is>
          <t>BE</t>
        </is>
      </c>
      <c r="D4" s="85" t="inlineStr">
        <is>
          <t>FE</t>
        </is>
      </c>
      <c r="E4" s="85" t="inlineStr">
        <is>
          <t>Số function</t>
        </is>
      </c>
      <c r="F4" s="85" t="inlineStr">
        <is>
          <t>Simple</t>
        </is>
      </c>
      <c r="G4" s="85" t="inlineStr">
        <is>
          <t>Medium</t>
        </is>
      </c>
      <c r="H4" s="85" t="inlineStr">
        <is>
          <t>Complex</t>
        </is>
      </c>
      <c r="I4" s="85" t="inlineStr">
        <is>
          <t>Phạm vi / ghi chú</t>
        </is>
      </c>
      <c r="J4" s="85" t="inlineStr">
        <is>
          <t>To Do</t>
        </is>
      </c>
      <c r="K4" s="85" t="inlineStr">
        <is>
          <t>In Progress</t>
        </is>
      </c>
      <c r="L4" s="85" t="inlineStr">
        <is>
          <t>Review</t>
        </is>
      </c>
      <c r="M4" s="85" t="inlineStr">
        <is>
          <t>Done</t>
        </is>
      </c>
    </row>
    <row r="5" ht="37.5" customHeight="1" s="47">
      <c r="A5" s="86" t="inlineStr">
        <is>
          <t>Sprint 1</t>
        </is>
      </c>
      <c r="B5" s="87" t="inlineStr">
        <is>
          <t>21/09 → 05/10</t>
        </is>
      </c>
      <c r="C5" s="88" t="inlineStr">
        <is>
          <t>Nhanh / Bảo</t>
        </is>
      </c>
      <c r="D5" s="88" t="inlineStr">
        <is>
          <t>Khôi / Khải</t>
        </is>
      </c>
      <c r="E5" s="89">
        <f>COUNTIF('Phân chia UC'!$J$5:$J$113,$A5)</f>
        <v/>
      </c>
      <c r="F5" s="89">
        <f>COUNTIFS('Phân chia UC'!$J$5:$J$113,$A5,'Phân chia UC'!$G$5:$G$113,F$4)</f>
        <v/>
      </c>
      <c r="G5" s="89">
        <f>COUNTIFS('Phân chia UC'!$J$5:$J$113,$A5,'Phân chia UC'!$G$5:$G$113,G$4)</f>
        <v/>
      </c>
      <c r="H5" s="89">
        <f>COUNTIFS('Phân chia UC'!$J$5:$J$113,$A5,'Phân chia UC'!$G$5:$G$113,H$4)</f>
        <v/>
      </c>
      <c r="I5" s="88" t="inlineStr">
        <is>
          <t>Flow 1 + UC-PAY-06/07/10. Nhanh + Khôi: #1–12, #22–28; Bảo + Khải: #13–21. Đã xong, đã merge main.</t>
        </is>
      </c>
      <c r="J5" s="89">
        <f>COUNTIFS('Phân chia UC'!$J$5:$J$113,$A5,'Phân chia UC'!$N$5:$N$113,J$4)</f>
        <v/>
      </c>
      <c r="K5" s="89">
        <f>COUNTIFS('Phân chia UC'!$J$5:$J$113,$A5,'Phân chia UC'!$N$5:$N$113,K$4)</f>
        <v/>
      </c>
      <c r="L5" s="89">
        <f>COUNTIFS('Phân chia UC'!$J$5:$J$113,$A5,'Phân chia UC'!$N$5:$N$113,L$4)</f>
        <v/>
      </c>
      <c r="M5" s="89">
        <f>COUNTIFS('Phân chia UC'!$J$5:$J$113,$A5,'Phân chia UC'!$N$5:$N$113,M$4)</f>
        <v/>
      </c>
    </row>
    <row r="6" ht="37.5" customHeight="1" s="47">
      <c r="A6" s="86" t="inlineStr">
        <is>
          <t>Sprint 2</t>
        </is>
      </c>
      <c r="B6" s="87" t="inlineStr">
        <is>
          <t>06/10 → 19/10</t>
        </is>
      </c>
      <c r="C6" s="88" t="inlineStr">
        <is>
          <t>Bảo / Nhanh</t>
        </is>
      </c>
      <c r="D6" s="88" t="inlineStr">
        <is>
          <t>Khải / Khôi</t>
        </is>
      </c>
      <c r="E6" s="89">
        <f>COUNTIF('Phân chia UC'!$J$5:$J$113,$A6)</f>
        <v/>
      </c>
      <c r="F6" s="89">
        <f>COUNTIFS('Phân chia UC'!$J$5:$J$113,$A6,'Phân chia UC'!$G$5:$G$113,F$4)</f>
        <v/>
      </c>
      <c r="G6" s="89">
        <f>COUNTIFS('Phân chia UC'!$J$5:$J$113,$A6,'Phân chia UC'!$G$5:$G$113,G$4)</f>
        <v/>
      </c>
      <c r="H6" s="89">
        <f>COUNTIFS('Phân chia UC'!$J$5:$J$113,$A6,'Phân chia UC'!$G$5:$G$113,H$4)</f>
        <v/>
      </c>
      <c r="I6" s="88" t="inlineStr">
        <is>
          <t>Flow 2. Bảo + Khải: #29–37; Nhanh + Khôi: #38–46. Đã xong, đã merge main.</t>
        </is>
      </c>
      <c r="J6" s="89">
        <f>COUNTIFS('Phân chia UC'!$J$5:$J$113,$A6,'Phân chia UC'!$N$5:$N$113,J$4)</f>
        <v/>
      </c>
      <c r="K6" s="89">
        <f>COUNTIFS('Phân chia UC'!$J$5:$J$113,$A6,'Phân chia UC'!$N$5:$N$113,K$4)</f>
        <v/>
      </c>
      <c r="L6" s="89">
        <f>COUNTIFS('Phân chia UC'!$J$5:$J$113,$A6,'Phân chia UC'!$N$5:$N$113,L$4)</f>
        <v/>
      </c>
      <c r="M6" s="89">
        <f>COUNTIFS('Phân chia UC'!$J$5:$J$113,$A6,'Phân chia UC'!$N$5:$N$113,M$4)</f>
        <v/>
      </c>
    </row>
    <row r="7" ht="37.5" customHeight="1" s="47">
      <c r="A7" s="86" t="inlineStr">
        <is>
          <t>Sprint 3</t>
        </is>
      </c>
      <c r="B7" s="87" t="inlineStr">
        <is>
          <t>20/10 → 02/11</t>
        </is>
      </c>
      <c r="C7" s="88" t="inlineStr">
        <is>
          <t>Bảo / Nhanh</t>
        </is>
      </c>
      <c r="D7" s="88" t="inlineStr">
        <is>
          <t>Khôi / Khải</t>
        </is>
      </c>
      <c r="E7" s="89">
        <f>COUNTIF('Phân chia UC'!$J$5:$J$113,$A7)</f>
        <v/>
      </c>
      <c r="F7" s="89">
        <f>COUNTIFS('Phân chia UC'!$J$5:$J$113,$A7,'Phân chia UC'!$G$5:$G$113,F$4)</f>
        <v/>
      </c>
      <c r="G7" s="89">
        <f>COUNTIFS('Phân chia UC'!$J$5:$J$113,$A7,'Phân chia UC'!$G$5:$G$113,G$4)</f>
        <v/>
      </c>
      <c r="H7" s="89">
        <f>COUNTIFS('Phân chia UC'!$J$5:$J$113,$A7,'Phân chia UC'!$G$5:$G$113,H$4)</f>
        <v/>
      </c>
      <c r="I7" s="88" t="inlineStr">
        <is>
          <t>BE: Nhanh SePay/đối soát #56–59, #88–96, #102; Bảo #50, #52, #53, #60–63, #100, #101, #103, #105–107. Khải full-stack #51, #99, #104 + test #108; Khôi full-stack #64, #98 + test #97. FE: Khải #51, #57, #58, #62, #88, #90–92, #95, #99, #101, #103, #104, #107 + 17 task UI; Khôi #52, #53, #59–61, #63, #64, #89, #93, #98, #100, #105, #106 + 13 task UI. #77–87 Nhanh đã làm (PR #3).</t>
        </is>
      </c>
      <c r="J7" s="89">
        <f>COUNTIFS('Phân chia UC'!$J$5:$J$113,$A7,'Phân chia UC'!$N$5:$N$113,J$4)</f>
        <v/>
      </c>
      <c r="K7" s="89">
        <f>COUNTIFS('Phân chia UC'!$J$5:$J$113,$A7,'Phân chia UC'!$N$5:$N$113,K$4)</f>
        <v/>
      </c>
      <c r="L7" s="89">
        <f>COUNTIFS('Phân chia UC'!$J$5:$J$113,$A7,'Phân chia UC'!$N$5:$N$113,L$4)</f>
        <v/>
      </c>
      <c r="M7" s="89">
        <f>COUNTIFS('Phân chia UC'!$J$5:$J$113,$A7,'Phân chia UC'!$N$5:$N$113,M$4)</f>
        <v/>
      </c>
    </row>
    <row r="8" ht="37.5" customHeight="1" s="47">
      <c r="A8" s="86" t="inlineStr">
        <is>
          <t>Sprint 4</t>
        </is>
      </c>
      <c r="B8" s="87" t="inlineStr">
        <is>
          <t>03/11 → 16/11</t>
        </is>
      </c>
      <c r="C8" s="88" t="inlineStr">
        <is>
          <t>Bảo / Nhanh</t>
        </is>
      </c>
      <c r="D8" s="88" t="inlineStr">
        <is>
          <t>Khôi / Khải</t>
        </is>
      </c>
      <c r="E8" s="89">
        <f>COUNTIF('Phân chia UC'!$J$5:$J$113,$A8)</f>
        <v/>
      </c>
      <c r="F8" s="89">
        <f>COUNTIFS('Phân chia UC'!$J$5:$J$113,$A8,'Phân chia UC'!$G$5:$G$113,F$4)</f>
        <v/>
      </c>
      <c r="G8" s="89">
        <f>COUNTIFS('Phân chia UC'!$J$5:$J$113,$A8,'Phân chia UC'!$G$5:$G$113,G$4)</f>
        <v/>
      </c>
      <c r="H8" s="89">
        <f>COUNTIFS('Phân chia UC'!$J$5:$J$113,$A8,'Phân chia UC'!$G$5:$G$113,H$4)</f>
        <v/>
      </c>
      <c r="I8" s="88" t="inlineStr">
        <is>
          <t>Training/kế hoạch tập #65–69 do Bảo; AI #70–76 do Nhanh; điểm danh #62–64 đã kéo lên Sprint 3.</t>
        </is>
      </c>
      <c r="J8" s="89">
        <f>COUNTIFS('Phân chia UC'!$J$5:$J$113,$A8,'Phân chia UC'!$N$5:$N$113,J$4)</f>
        <v/>
      </c>
      <c r="K8" s="89">
        <f>COUNTIFS('Phân chia UC'!$J$5:$J$113,$A8,'Phân chia UC'!$N$5:$N$113,K$4)</f>
        <v/>
      </c>
      <c r="L8" s="89">
        <f>COUNTIFS('Phân chia UC'!$J$5:$J$113,$A8,'Phân chia UC'!$N$5:$N$113,L$4)</f>
        <v/>
      </c>
      <c r="M8" s="89">
        <f>COUNTIFS('Phân chia UC'!$J$5:$J$113,$A8,'Phân chia UC'!$N$5:$N$113,M$4)</f>
        <v/>
      </c>
    </row>
    <row r="9" ht="37.5" customHeight="1" s="47">
      <c r="A9" s="90" t="inlineStr">
        <is>
          <t>Tổng</t>
        </is>
      </c>
      <c r="B9" s="90" t="n"/>
      <c r="C9" s="90" t="n"/>
      <c r="D9" s="90" t="n"/>
      <c r="E9" s="91">
        <f>SUM(E5:E8)</f>
        <v/>
      </c>
      <c r="F9" s="91">
        <f>SUM(F5:F8)</f>
        <v/>
      </c>
      <c r="G9" s="91">
        <f>SUM(G5:G8)</f>
        <v/>
      </c>
      <c r="H9" s="91">
        <f>SUM(H5:H8)</f>
        <v/>
      </c>
      <c r="I9" s="92" t="n"/>
      <c r="J9" s="91">
        <f>SUM(J5:J8)</f>
        <v/>
      </c>
      <c r="K9" s="91">
        <f>SUM(K5:K8)</f>
        <v/>
      </c>
      <c r="L9" s="91">
        <f>SUM(L5:L8)</f>
        <v/>
      </c>
      <c r="M9" s="91">
        <f>SUM(M5:M8)</f>
        <v/>
      </c>
    </row>
    <row r="10" ht="15" customHeight="1" s="47">
      <c r="A10" s="84" t="n"/>
      <c r="B10" s="84" t="n"/>
      <c r="C10" s="84" t="n"/>
      <c r="D10" s="84" t="n"/>
      <c r="E10" s="84" t="n"/>
      <c r="F10" s="84" t="n"/>
      <c r="G10" s="84" t="n"/>
      <c r="H10" s="84" t="n"/>
      <c r="I10" s="84" t="n"/>
    </row>
    <row r="11" ht="15" customHeight="1" s="47">
      <c r="A11" s="84" t="n"/>
      <c r="B11" s="84" t="n"/>
      <c r="C11" s="84" t="n"/>
      <c r="D11" s="84" t="n"/>
      <c r="E11" s="84" t="n"/>
      <c r="F11" s="84" t="n"/>
      <c r="G11" s="84" t="n"/>
      <c r="H11" s="84" t="n"/>
      <c r="I11" s="84" t="n"/>
    </row>
    <row r="12" ht="15" customHeight="1" s="47">
      <c r="A12" s="84" t="n"/>
      <c r="B12" s="84" t="n"/>
      <c r="C12" s="84" t="n"/>
      <c r="D12" s="84" t="n"/>
      <c r="E12" s="84" t="n"/>
      <c r="F12" s="84" t="n"/>
      <c r="G12" s="84" t="n"/>
      <c r="H12" s="84" t="n"/>
      <c r="I12" s="84" t="n"/>
    </row>
    <row r="13" ht="15" customHeight="1" s="47">
      <c r="A13" s="84" t="n"/>
      <c r="B13" s="84" t="n"/>
      <c r="C13" s="84" t="n"/>
      <c r="D13" s="84" t="n"/>
      <c r="E13" s="84" t="n"/>
      <c r="F13" s="84" t="n"/>
      <c r="G13" s="84" t="n"/>
      <c r="H13" s="84" t="n"/>
      <c r="I13" s="84" t="n"/>
    </row>
    <row r="14" ht="27.75" customHeight="1" s="47">
      <c r="A14" s="93" t="inlineStr">
        <is>
          <t>Thành viên</t>
        </is>
      </c>
      <c r="B14" s="93" t="inlineStr">
        <is>
          <t>BE functions</t>
        </is>
      </c>
      <c r="C14" s="93" t="inlineStr">
        <is>
          <t>FE functions</t>
        </is>
      </c>
      <c r="D14" s="93" t="inlineStr">
        <is>
          <t>Vai trò / ghi chú</t>
        </is>
      </c>
      <c r="E14" s="84" t="n"/>
      <c r="F14" s="84" t="n"/>
      <c r="G14" s="84" t="n"/>
      <c r="H14" s="84" t="n"/>
      <c r="I14" s="84" t="n"/>
    </row>
    <row r="15" ht="37.5" customHeight="1" s="47">
      <c r="A15" s="94" t="inlineStr">
        <is>
          <t>Nhanh</t>
        </is>
      </c>
      <c r="B15" s="95">
        <f>COUNTIF('Phân chia UC'!$H$5:$H$113,$A15)</f>
        <v/>
      </c>
      <c r="C15" s="95">
        <f>COUNTIF('Phân chia UC'!$I$5:$I$113,$A15)</f>
        <v/>
      </c>
      <c r="D15" s="94" t="inlineStr">
        <is>
          <t>Leader. BE Sprint 1–2; Sprint 3 tập trung SePay: webhook, hàng chờ đối soát, map giao dịch, thiếu/thừa, chuyển lặp, báo đã chuyển; AI Sprint 4</t>
        </is>
      </c>
      <c r="E15" s="84" t="n"/>
      <c r="F15" s="84" t="n"/>
      <c r="G15" s="84" t="n"/>
      <c r="H15" s="84" t="n"/>
      <c r="I15" s="84" t="n"/>
    </row>
    <row r="16" ht="37.5" customHeight="1" s="47">
      <c r="A16" s="94" t="inlineStr">
        <is>
          <t>Bảo</t>
        </is>
      </c>
      <c r="B16" s="95">
        <f>COUNTIF('Phân chia UC'!$H$5:$H$113,$A16)</f>
        <v/>
      </c>
      <c r="C16" s="95">
        <f>COUNTIF('Phân chia UC'!$I$5:$I$113,$A16)</f>
        <v/>
      </c>
      <c r="D16" s="94" t="inlineStr">
        <is>
          <t>BE Sprint 1 (#13–21), Sprint 2 (#29–37); Sprint 3: job gia hạn, đổi/huỷ buổi, báo cáo, điểm danh, bảo lưu, danh sách chờ, đổi HLV, phòng bảo trì, chặn vắng mặt</t>
        </is>
      </c>
      <c r="E16" s="84" t="n"/>
      <c r="F16" s="84" t="n"/>
      <c r="G16" s="84" t="n"/>
      <c r="H16" s="84" t="n"/>
      <c r="I16" s="84" t="n"/>
    </row>
    <row r="17" ht="37.5" customHeight="1" s="47">
      <c r="A17" s="94" t="inlineStr">
        <is>
          <t>Khôi</t>
        </is>
      </c>
      <c r="B17" s="95">
        <f>COUNTIF('Phân chia UC'!$H$5:$H$113,$A17)</f>
        <v/>
      </c>
      <c r="C17" s="95">
        <f>COUNTIF('Phân chia UC'!$I$5:$I$113,$A17)</f>
        <v/>
      </c>
      <c r="D17" s="94" t="inlineStr">
        <is>
          <t>FE Sprint 1–2 (#1–12, #22–28, #38–46); Sprint 3: đổi/huỷ buổi, báo cáo, hoàn tiền, chuyển bù, báo đã chuyển, điểm danh, khoá đăng nhập + 13 task sửa UI, test E2E SePay</t>
        </is>
      </c>
      <c r="E17" s="84" t="n"/>
      <c r="F17" s="84" t="n"/>
      <c r="G17" s="84" t="n"/>
      <c r="H17" s="84" t="n"/>
      <c r="I17" s="84" t="n"/>
    </row>
    <row r="18" ht="37.5" customHeight="1" s="47">
      <c r="A18" s="94" t="inlineStr">
        <is>
          <t>Khải</t>
        </is>
      </c>
      <c r="B18" s="95">
        <f>COUNTIF('Phân chia UC'!$H$5:$H$113,$A18)</f>
        <v/>
      </c>
      <c r="C18" s="95">
        <f>COUNTIF('Phân chia UC'!$I$5:$I$113,$A18)</f>
        <v/>
      </c>
      <c r="D18" s="94" t="inlineStr">
        <is>
          <t>FE Sprint 1–2 (#13–21, #29–37); Sprint 3 nhiều UI nhất: hàng chờ đối soát, map giao dịch, cảnh báo chuyển lặp, mẫu hoá đơn PDF, nhật ký thao tác, bảo lưu, danh sách chờ + 17 task sửa UI, test E2E Flow 1, 2</t>
        </is>
      </c>
      <c r="E18" s="84" t="n"/>
      <c r="F18" s="84" t="n"/>
      <c r="G18" s="84" t="n"/>
      <c r="H18" s="84" t="n"/>
      <c r="I18" s="84" t="n"/>
    </row>
    <row r="19" ht="15" customHeight="1" s="47">
      <c r="A19" s="84" t="n"/>
      <c r="B19" s="84" t="n"/>
      <c r="C19" s="84" t="n"/>
      <c r="D19" s="84" t="n"/>
      <c r="E19" s="84" t="n"/>
      <c r="F19" s="84" t="n"/>
      <c r="G19" s="84" t="n"/>
      <c r="H19" s="84" t="n"/>
      <c r="I19" s="84" t="n"/>
    </row>
    <row r="20" ht="15" customHeight="1" s="47">
      <c r="A20" s="84" t="n"/>
      <c r="B20" s="84" t="n"/>
      <c r="C20" s="84" t="n"/>
      <c r="D20" s="84" t="n"/>
      <c r="E20" s="84" t="n"/>
      <c r="F20" s="84" t="n"/>
      <c r="G20" s="84" t="n"/>
      <c r="H20" s="84" t="n"/>
      <c r="I20" s="84" t="n"/>
    </row>
    <row r="21" ht="15.75" customHeight="1" s="47">
      <c r="A21" s="58">
        <f>"Kiểm tra tổng: "&amp;E9&amp;" function = "&amp;F9&amp;" Simple + "&amp;G9&amp;" Medium + "&amp;H9&amp;" Complex; đã xong "&amp;M9&amp;", chờ review "&amp;L9&amp;", chưa làm "&amp;J9&amp;". Job/webhook/system rows không có FE được giữ là —."</f>
        <v/>
      </c>
    </row>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3">
    <mergeCell ref="A2:M2"/>
    <mergeCell ref="A21:M21"/>
    <mergeCell ref="A1:M1"/>
  </mergeCell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F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2890625" defaultRowHeight="15" customHeight="1" zeroHeight="0" outlineLevelRow="0"/>
  <cols>
    <col width="34" customWidth="1" style="46" min="1" max="1"/>
    <col width="20" customWidth="1" style="46" min="2" max="2"/>
    <col width="95" customWidth="1" style="46" min="3" max="3"/>
    <col width="12" customWidth="1" style="46" min="4" max="6"/>
    <col width="8.630000000000001" customWidth="1" style="46" min="7" max="26"/>
  </cols>
  <sheetData>
    <row r="1" ht="27.75" customHeight="1" s="47">
      <c r="A1" s="56" t="inlineStr">
        <is>
          <t>SOURCES &amp; NOTES – PHẠM VI, NGUỒN VÀ QUY ƯỚC (v3, đã gộp Sprint 0 vào Sprint 1)</t>
        </is>
      </c>
      <c r="D1" s="84" t="n"/>
      <c r="E1" s="84" t="n"/>
      <c r="F1" s="84" t="n"/>
    </row>
    <row r="2" ht="15" customHeight="1" s="47">
      <c r="A2" s="84" t="n"/>
      <c r="B2" s="84" t="n"/>
      <c r="C2" s="84" t="n"/>
      <c r="D2" s="84" t="n"/>
      <c r="E2" s="84" t="n"/>
      <c r="F2" s="84" t="n"/>
    </row>
    <row r="3" ht="15" customHeight="1" s="47">
      <c r="A3" s="85" t="inlineStr">
        <is>
          <t>Nguồn</t>
        </is>
      </c>
      <c r="B3" s="85" t="inlineStr">
        <is>
          <t>Loại</t>
        </is>
      </c>
      <c r="C3" s="85" t="inlineStr">
        <is>
          <t>Đường dẫn / mô tả</t>
        </is>
      </c>
      <c r="D3" s="84" t="n"/>
      <c r="E3" s="84" t="n"/>
      <c r="F3" s="84" t="n"/>
    </row>
    <row r="4" ht="42" customHeight="1" s="47">
      <c r="A4" s="88" t="inlineStr">
        <is>
          <t>SWP391_Sprint_Plan.docx</t>
        </is>
      </c>
      <c r="B4" s="88" t="inlineStr">
        <is>
          <t>Nguồn chính – v3</t>
        </is>
      </c>
      <c r="C4" s="88" t="inlineStr">
        <is>
          <t>https://docs.google.com/document/d/1MBRajtQfgI1SQWpi68lWTdA3X7Xq7KvV/edit — SPRINT PLAN – USE CASE POINT v3, 22/09/2026</t>
        </is>
      </c>
      <c r="D4" s="84" t="n"/>
      <c r="E4" s="84" t="n"/>
      <c r="F4" s="84" t="n"/>
    </row>
    <row r="5" ht="42" customHeight="1" s="47">
      <c r="A5" s="88" t="inlineStr">
        <is>
          <t>ERD-Conceptal.png</t>
        </is>
      </c>
      <c r="B5" s="88" t="inlineStr">
        <is>
          <t>ERD tham chiếu</t>
        </is>
      </c>
      <c r="C5" s="88" t="inlineStr">
        <is>
          <t>https://drive.google.com/file/d/1EPF9Ax0Twfgsw1utJFDYKTvnTdeh5mmp/view — entity/relationship conceptual gửi kèm</t>
        </is>
      </c>
      <c r="D5" s="84" t="n"/>
      <c r="E5" s="84" t="n"/>
      <c r="F5" s="84" t="n"/>
    </row>
    <row r="6" ht="42" customHeight="1" s="47">
      <c r="A6" s="88" t="inlineStr">
        <is>
          <t>SWP391_BaoCaoTuan1_MVP_HighFidelity_HoanThien.docx</t>
        </is>
      </c>
      <c r="B6" s="88" t="inlineStr">
        <is>
          <t>Project data</t>
        </is>
      </c>
      <c r="C6" s="88" t="inlineStr">
        <is>
          <t>Actor matrix, màn hình, business rule, RBAC, SePay, training và AI trong project</t>
        </is>
      </c>
      <c r="D6" s="84" t="n"/>
      <c r="E6" s="84" t="n"/>
      <c r="F6" s="84" t="n"/>
    </row>
    <row r="7" ht="42" customHeight="1" s="47">
      <c r="A7" s="88" t="inlineStr">
        <is>
          <t>SWP391_Tuan1_Leader_Plan_Sports_Center.docx</t>
        </is>
      </c>
      <c r="B7" s="88" t="inlineStr">
        <is>
          <t>Project data</t>
        </is>
      </c>
      <c r="C7" s="88" t="inlineStr">
        <is>
          <t>Vai trò nhóm, actor/feature coverage và quy ước triển khai tuần 1</t>
        </is>
      </c>
      <c r="D7" s="84" t="n"/>
      <c r="E7" s="84" t="n"/>
      <c r="F7" s="84" t="n"/>
    </row>
    <row r="8" ht="23.25" customHeight="1" s="47">
      <c r="A8" s="92" t="inlineStr">
        <is>
          <t>07_Business_Rules.docx</t>
        </is>
      </c>
      <c r="B8" s="92" t="inlineStr">
        <is>
          <t>Business rules – nguồn bổ sung</t>
        </is>
      </c>
      <c r="C8" s="92" t="inlineStr">
        <is>
          <t>https://docs.google.com/document/d/1hbthAJPq1EQtrmuFvD8OXe7OFAry3kMM/edit — BR-0.x, BR-1.x, BR-2.x, BR-3.x, BR-PAY-xx và BR-AI-xx</t>
        </is>
      </c>
      <c r="D8" s="84" t="n"/>
      <c r="E8" s="84" t="n"/>
      <c r="F8" s="84" t="n"/>
    </row>
    <row r="9" ht="15" customHeight="1" s="47">
      <c r="A9" s="92" t="n"/>
      <c r="B9" s="92" t="n"/>
      <c r="C9" s="92" t="n"/>
      <c r="D9" s="84" t="n"/>
      <c r="E9" s="84" t="n"/>
      <c r="F9" s="84" t="n"/>
    </row>
    <row r="10" ht="15" customHeight="1" s="47">
      <c r="A10" s="85" t="inlineStr">
        <is>
          <t>Quy ước phân công</t>
        </is>
      </c>
      <c r="B10" s="85" t="inlineStr">
        <is>
          <t>Giá trị</t>
        </is>
      </c>
      <c r="C10" s="85" t="inlineStr">
        <is>
          <t>Ghi chú</t>
        </is>
      </c>
      <c r="D10" s="84" t="n"/>
      <c r="E10" s="84" t="n"/>
      <c r="F10" s="84" t="n"/>
    </row>
    <row r="11" ht="33.75" customHeight="1" s="47">
      <c r="A11" s="96" t="inlineStr">
        <is>
          <t>Sprint 1</t>
        </is>
      </c>
      <c r="B11" s="96" t="inlineStr">
        <is>
          <t>BE Nhanh + Bảo | FE Khôi + Khải</t>
        </is>
      </c>
      <c r="C11" s="96" t="inlineStr">
        <is>
          <t>21/09 → 05/10; Flow 1 + UC-PAY-06/07/10; 28 function #1–28; Nhanh + Khôi #1–12, #22–28; Bảo + Khải #13–21. ĐÃ XONG.</t>
        </is>
      </c>
      <c r="D11" s="84" t="n"/>
      <c r="E11" s="84" t="n"/>
      <c r="F11" s="84" t="n"/>
    </row>
    <row r="12" ht="33.75" customHeight="1" s="47">
      <c r="A12" s="96" t="inlineStr">
        <is>
          <t>Sprint 2</t>
        </is>
      </c>
      <c r="B12" s="96" t="inlineStr">
        <is>
          <t>BE Bảo + Nhanh | FE Khải + Khôi</t>
        </is>
      </c>
      <c r="C12" s="96" t="inlineStr">
        <is>
          <t>06/10 → 19/10; Flow 2; 18 function #29–46; Bảo + Khải #29–37, Nhanh + Khôi #38–46. ĐÃ XONG.</t>
        </is>
      </c>
      <c r="D12" s="84" t="n"/>
      <c r="E12" s="84" t="n"/>
      <c r="F12" s="84" t="n"/>
    </row>
    <row r="13" ht="33.75" customHeight="1" s="47">
      <c r="A13" s="96" t="inlineStr">
        <is>
          <t>Sprint 3</t>
        </is>
      </c>
      <c r="B13" s="96" t="inlineStr">
        <is>
          <t>BE Bảo + Nhanh | FE Khôi + Khải</t>
        </is>
      </c>
      <c r="C13" s="96" t="inlineStr">
        <is>
          <t>20/10 → 02/11; chia lại 14/10 để Bảo, Khôi, Khải làm nhiều hơn: Nhanh chỉ giữ SePay/đối soát; kéo #62–64 từ Sprint 4; thêm ngoại lệ Flow 1, 2 (#98–108) và 30 task sửa UI từ rà soát ảnh chụp.</t>
        </is>
      </c>
      <c r="D13" s="84" t="n"/>
      <c r="E13" s="84" t="n"/>
      <c r="F13" s="84" t="n"/>
    </row>
    <row r="14" ht="33.75" customHeight="1" s="47">
      <c r="A14" s="96" t="inlineStr">
        <is>
          <t>Sprint 4</t>
        </is>
      </c>
      <c r="B14" s="96" t="inlineStr">
        <is>
          <t>BE Bảo / Nhanh | FE Khôi</t>
        </is>
      </c>
      <c r="C14" s="96" t="inlineStr">
        <is>
          <t>03/11 → 16/11; Training #65–69 do Bảo; AI #70–76 do Nhanh; FE Khôi/Khải.</t>
        </is>
      </c>
      <c r="D14" s="84" t="n"/>
      <c r="E14" s="84" t="n"/>
      <c r="F14" s="84" t="n"/>
    </row>
    <row r="15" ht="33.75" customHeight="1" s="47">
      <c r="A15" s="96" t="inlineStr">
        <is>
          <t>Bổ sung</t>
        </is>
      </c>
      <c r="B15" s="96" t="inlineStr">
        <is>
          <t>BE + FE Nhanh</t>
        </is>
      </c>
      <c r="C15" s="96" t="inlineStr">
        <is>
          <t>13/10 → 14/10 làm trước Sprint 3, thuộc Sprint 3 (#77–87); nằm trong PR #3, chờ review</t>
        </is>
      </c>
      <c r="D15" s="84" t="n"/>
      <c r="E15" s="84" t="n"/>
      <c r="F15" s="84" t="n"/>
    </row>
    <row r="16" ht="15" customHeight="1" s="47">
      <c r="A16" s="92" t="n"/>
      <c r="B16" s="92" t="n"/>
      <c r="C16" s="92" t="n"/>
      <c r="D16" s="84" t="n"/>
      <c r="E16" s="84" t="n"/>
      <c r="F16" s="84" t="n"/>
    </row>
    <row r="17" ht="15" customHeight="1" s="47">
      <c r="A17" s="92" t="n"/>
      <c r="B17" s="92" t="n"/>
      <c r="C17" s="92" t="n"/>
      <c r="D17" s="84" t="n"/>
      <c r="E17" s="84" t="n"/>
      <c r="F17" s="84" t="n"/>
    </row>
    <row r="18" ht="15" customHeight="1" s="47">
      <c r="A18" s="85" t="inlineStr">
        <is>
          <t>ERD entities được dùng trong mapping</t>
        </is>
      </c>
      <c r="B18" s="85" t="inlineStr">
        <is>
          <t>Nhóm</t>
        </is>
      </c>
      <c r="C18" s="85" t="inlineStr">
        <is>
          <t>Bảng</t>
        </is>
      </c>
      <c r="D18" s="84" t="n"/>
      <c r="E18" s="84" t="n"/>
      <c r="F18" s="84" t="n"/>
    </row>
    <row r="19" ht="30" customHeight="1" s="47">
      <c r="A19" s="97" t="inlineStr">
        <is>
          <t>Identity / RBAC</t>
        </is>
      </c>
      <c r="B19" s="97" t="inlineStr">
        <is>
          <t>Core</t>
        </is>
      </c>
      <c r="C19" s="97" t="inlineStr">
        <is>
          <t>USER, ROLE, PERMISSION</t>
        </is>
      </c>
      <c r="D19" s="84" t="n"/>
      <c r="E19" s="84" t="n"/>
      <c r="F19" s="84" t="n"/>
    </row>
    <row r="20" ht="30" customHeight="1" s="47">
      <c r="A20" s="97" t="inlineStr">
        <is>
          <t>Membership / Payment</t>
        </is>
      </c>
      <c r="B20" s="97" t="inlineStr">
        <is>
          <t>Core</t>
        </is>
      </c>
      <c r="C20" s="97" t="inlineStr">
        <is>
          <t>MEMBERSHIP_PLAN, MEMBERSHIP, INVOICE, PAYMENT</t>
        </is>
      </c>
      <c r="D20" s="84" t="n"/>
      <c r="E20" s="84" t="n"/>
      <c r="F20" s="84" t="n"/>
    </row>
    <row r="21" ht="30" customHeight="1" s="47">
      <c r="A21" s="97" t="inlineStr">
        <is>
          <t>Class / Attendance</t>
        </is>
      </c>
      <c r="B21" s="97" t="inlineStr">
        <is>
          <t>Class</t>
        </is>
      </c>
      <c r="C21" s="97" t="inlineStr">
        <is>
          <t>CLASS, CLASS_SESSION, ENROLLMENT, SESSION_ATTENDANCE</t>
        </is>
      </c>
      <c r="D21" s="84" t="n"/>
      <c r="E21" s="84" t="n"/>
      <c r="F21" s="84" t="n"/>
    </row>
    <row r="22" ht="30" customHeight="1" s="47">
      <c r="A22" s="97" t="inlineStr">
        <is>
          <t>Training</t>
        </is>
      </c>
      <c r="B22" s="97" t="inlineStr">
        <is>
          <t>Training</t>
        </is>
      </c>
      <c r="C22" s="97" t="inlineStr">
        <is>
          <t>TRAINING_PLAN, TRAINING_RESULT</t>
        </is>
      </c>
      <c r="D22" s="84" t="n"/>
      <c r="E22" s="84" t="n"/>
      <c r="F22" s="84" t="n"/>
    </row>
    <row r="23" ht="30" customHeight="1" s="47">
      <c r="A23" s="97" t="inlineStr">
        <is>
          <t>AI / Notify</t>
        </is>
      </c>
      <c r="B23" s="97" t="inlineStr">
        <is>
          <t>AI</t>
        </is>
      </c>
      <c r="C23" s="97" t="inlineStr">
        <is>
          <t>AI_SUGGESTION, AI_CALL_LOG, AI_CONFIG, NOTIFICATION</t>
        </is>
      </c>
      <c r="D23" s="84" t="n"/>
      <c r="E23" s="84" t="n"/>
      <c r="F23" s="84" t="n"/>
    </row>
    <row r="24" ht="30" customHeight="1" s="47">
      <c r="A24" s="97" t="inlineStr">
        <is>
          <t>Project extensions</t>
        </is>
      </c>
      <c r="B24" s="97" t="inlineStr">
        <is>
          <t>*</t>
        </is>
      </c>
      <c r="C24" s="97" t="inlineStr">
        <is>
          <t>AUDIT_LOG, SYSTEM_SETTING, PAYMENT_WEBHOOK_LOG, EMAIL_VERIFICATION_TOKEN được dùng trong project; không hiện trong ảnh conceptual gửi kèm</t>
        </is>
      </c>
      <c r="D24" s="84" t="n"/>
      <c r="E24" s="84" t="n"/>
      <c r="F24" s="84" t="n"/>
    </row>
    <row r="25" ht="15.75" customHeight="1" s="47">
      <c r="A25" s="84" t="n"/>
      <c r="B25" s="84" t="n"/>
      <c r="C25" s="84" t="n"/>
      <c r="D25" s="84" t="n"/>
      <c r="E25" s="84" t="n"/>
      <c r="F25" s="84" t="n"/>
    </row>
    <row r="26" ht="15.75" customHeight="1" s="47">
      <c r="A26" s="98" t="inlineStr">
        <is>
          <t>Cập nhật 14/10/2026 (lần 2): sửa cột Flow/Actor/ERD bị lệch dòng; Sprint 1–2 chốt Done; chia lại Sprint 3; thêm #88–109 (SePay đối soát, ngoại lệ Flow 1, 2, kiểm thử, tài liệu).</t>
        </is>
      </c>
      <c r="B26" s="84" t="n"/>
      <c r="C26" s="84" t="n"/>
      <c r="D26" s="84" t="n"/>
      <c r="E26" s="84" t="n"/>
      <c r="F26" s="84" t="n"/>
    </row>
    <row r="27" ht="33.75" customHeight="1" s="47">
      <c r="A27" s="99" t="inlineStr">
        <is>
          <t>Method note: Attachment photo is layout reference only. The authoritative content for this revision is SPRINT PLAN v3 + BUSINESS RULES – TỔNG HỢP plus the existing ERD/project mapping; Function/Screen and Business Rule/Notes are intentionally expanded for reader clarity.</t>
        </is>
      </c>
      <c r="D27" s="84" t="n"/>
      <c r="E27" s="84" t="n"/>
      <c r="F27" s="84" t="n"/>
    </row>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2">
    <mergeCell ref="A1:C1"/>
    <mergeCell ref="A27:C27"/>
  </mergeCell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2026-10-14T12:52:29Z</dcterms:created>
  <dcterms:modified xmlns:dcterms="http://purl.org/dc/terms/" xmlns:xsi="http://www.w3.org/2001/XMLSchema-instance" xsi:type="dcterms:W3CDTF">2026-10-14T13:32:09Z</dcterms:modified>
  <cp:revision>3</cp:revision>
</cp:coreProperties>
</file>