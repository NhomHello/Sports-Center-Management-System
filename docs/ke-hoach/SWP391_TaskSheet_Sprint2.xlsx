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ask Sprint 2" sheetId="1" state="visible" r:id="rId1"/>
    <sheet xmlns:r="http://schemas.openxmlformats.org/officeDocument/2006/relationships" name="Tổng hợp" sheetId="2" state="visible" r:id="rId2"/>
    <sheet xmlns:r="http://schemas.openxmlformats.org/officeDocument/2006/relationships" name="Ngoài kế hoạch" sheetId="3" state="visible" r:id="rId3"/>
  </sheets>
  <definedNames>
    <definedName name="_xlnm._FilterDatabase" localSheetId="0" hidden="1">'Task Sprint 2'!$A$4:$L$60</definedName>
  </definedNames>
  <calcPr calcId="124519" fullCalcOnLoad="1" refMode="A1" iterate="0" iterateCount="100" iterateDelta="0.0001"/>
</workbook>
</file>

<file path=xl/styles.xml><?xml version="1.0" encoding="utf-8"?>
<styleSheet xmlns="http://schemas.openxmlformats.org/spreadsheetml/2006/main">
  <numFmts count="0"/>
  <fonts count="11">
    <font>
      <name val="Arial"/>
      <charset val="1"/>
      <family val="2"/>
      <color theme="1"/>
      <sz val="11"/>
    </font>
    <font>
      <name val="Arial"/>
      <family val="0"/>
      <sz val="10"/>
    </font>
    <font>
      <name val="Arial"/>
      <family val="0"/>
      <sz val="10"/>
    </font>
    <font>
      <name val="Arial"/>
      <family val="0"/>
      <sz val="10"/>
    </font>
    <font>
      <name val="Arial"/>
      <charset val="1"/>
      <family val="0"/>
      <b val="1"/>
      <color rgb="FF1F4E78"/>
      <sz val="14"/>
    </font>
    <font>
      <name val="Arial"/>
      <charset val="1"/>
      <family val="0"/>
      <i val="1"/>
      <color rgb="FF595959"/>
      <sz val="11"/>
    </font>
    <font>
      <name val="Times New Roman"/>
      <charset val="163"/>
      <family val="1"/>
      <b val="1"/>
      <color rgb="FFFFFFFF"/>
      <sz val="11"/>
    </font>
    <font>
      <name val="Times New Roman"/>
      <charset val="163"/>
      <family val="1"/>
      <color theme="1"/>
      <sz val="11"/>
    </font>
    <font>
      <name val="Arial"/>
      <charset val="1"/>
      <family val="0"/>
      <b val="1"/>
      <sz val="13"/>
    </font>
    <font>
      <name val="Arial"/>
      <charset val="1"/>
      <family val="0"/>
      <b val="1"/>
      <color rgb="FFFFFFFF"/>
      <sz val="11"/>
    </font>
    <font>
      <name val="Arial"/>
      <charset val="1"/>
      <family val="0"/>
      <b val="1"/>
      <sz val="11"/>
    </font>
  </fonts>
  <fills count="5">
    <fill>
      <patternFill/>
    </fill>
    <fill>
      <patternFill patternType="gray125"/>
    </fill>
    <fill>
      <patternFill patternType="solid">
        <fgColor rgb="FF1F4E78"/>
        <bgColor rgb="FF003366"/>
      </patternFill>
    </fill>
    <fill>
      <patternFill patternType="solid">
        <fgColor rgb="FFDDEBF7"/>
        <bgColor rgb="FFF2F2F2"/>
      </patternFill>
    </fill>
    <fill>
      <patternFill patternType="solid">
        <fgColor rgb="FFFCE4D6"/>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general" vertical="top"/>
    </xf>
    <xf numFmtId="0" fontId="7" fillId="0" borderId="1" applyAlignment="1" pivotButton="0" quotePrefix="0" xfId="0">
      <alignment horizontal="general" vertical="top" wrapText="1"/>
    </xf>
    <xf numFmtId="0" fontId="7" fillId="3" borderId="1" applyAlignment="1" pivotButton="0" quotePrefix="0" xfId="0">
      <alignment horizontal="general" vertical="top"/>
    </xf>
    <xf numFmtId="0" fontId="7" fillId="4" borderId="1" applyAlignment="1" pivotButton="0" quotePrefix="0" xfId="0">
      <alignment horizontal="general" vertical="top"/>
    </xf>
    <xf numFmtId="0" fontId="8" fillId="0" borderId="0" applyAlignment="1" pivotButton="0" quotePrefix="0" xfId="0">
      <alignment horizontal="general" vertical="bottom"/>
    </xf>
    <xf numFmtId="0" fontId="9" fillId="2" borderId="1" applyAlignment="1" pivotButton="0" quotePrefix="0" xfId="0">
      <alignment horizontal="general" vertical="bottom"/>
    </xf>
    <xf numFmtId="0" fontId="0" fillId="0" borderId="1" applyAlignment="1" pivotButton="0" quotePrefix="0" xfId="0">
      <alignment horizontal="general" vertical="bottom"/>
    </xf>
    <xf numFmtId="9" fontId="0" fillId="0" borderId="1" applyAlignment="1" pivotButton="0" quotePrefix="0" xfId="0">
      <alignment horizontal="general" vertical="bottom"/>
    </xf>
    <xf numFmtId="0" fontId="10" fillId="0" borderId="0" applyAlignment="1" pivotButton="0" quotePrefix="0" xfId="0">
      <alignment horizontal="general" vertical="bottom"/>
    </xf>
    <xf numFmtId="9"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general" vertical="top"/>
    </xf>
    <xf numFmtId="0" fontId="7" fillId="0" borderId="1" applyAlignment="1" pivotButton="0" quotePrefix="0" xfId="0">
      <alignment horizontal="general" vertical="top" wrapText="1"/>
    </xf>
    <xf numFmtId="0" fontId="7" fillId="3" borderId="1" applyAlignment="1" pivotButton="0" quotePrefix="0" xfId="0">
      <alignment horizontal="general" vertical="top"/>
    </xf>
    <xf numFmtId="0" fontId="7" fillId="4" borderId="1" applyAlignment="1" pivotButton="0" quotePrefix="0" xfId="0">
      <alignment horizontal="general" vertical="top"/>
    </xf>
    <xf numFmtId="0" fontId="8" fillId="0" borderId="0" applyAlignment="1" pivotButton="0" quotePrefix="0" xfId="0">
      <alignment horizontal="general" vertical="bottom"/>
    </xf>
    <xf numFmtId="0" fontId="9" fillId="2" borderId="1" applyAlignment="1" pivotButton="0" quotePrefix="0" xfId="0">
      <alignment horizontal="general" vertical="bottom"/>
    </xf>
    <xf numFmtId="0" fontId="0" fillId="0" borderId="1" applyAlignment="1" pivotButton="0" quotePrefix="0" xfId="0">
      <alignment horizontal="general" vertical="bottom"/>
    </xf>
    <xf numFmtId="9" fontId="0" fillId="0" borderId="1" applyAlignment="1" pivotButton="0" quotePrefix="0" xfId="0">
      <alignment horizontal="general" vertical="bottom"/>
    </xf>
    <xf numFmtId="0" fontId="10" fillId="0" borderId="0" applyAlignment="1" pivotButton="0" quotePrefix="0" xfId="0">
      <alignment horizontal="general" vertical="bottom"/>
    </xf>
    <xf numFmtId="9" fontId="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1F4E78"/>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FCE4D6"/>
          <bgColor rgb="FF000000"/>
        </patternFill>
      </fill>
    </dxf>
    <dxf>
      <fill>
        <patternFill patternType="solid">
          <fgColor rgb="FFC6EFCE"/>
          <bgColor rgb="FF000000"/>
        </patternFill>
      </fill>
    </dxf>
    <dxf>
      <fill>
        <patternFill>
          <bgColor rgb="FFC6EFCE"/>
        </patternFill>
      </fill>
    </dxf>
    <dxf>
      <fill>
        <patternFill>
          <bgColor rgb="FFDDEBF7"/>
        </patternFill>
      </fill>
    </dxf>
    <dxf>
      <fill>
        <patternFill>
          <bgColor rgb="FFFFEB9C"/>
        </patternFill>
      </fill>
    </dxf>
    <dxf>
      <fill>
        <patternFill>
          <bgColor rgb="FFF2F2F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CE4D6"/>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L60"/>
  <sheetViews>
    <sheetView showFormulas="0" showGridLines="1" showRowColHeaders="1" showZeros="1" rightToLeft="0" tabSelected="1" showOutlineSymbols="1" defaultGridColor="1" view="normal" topLeftCell="A1" colorId="64" zoomScale="55" zoomScaleNormal="55"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G25" activeCellId="0" sqref="G25"/>
    </sheetView>
  </sheetViews>
  <sheetFormatPr baseColWidth="8" defaultColWidth="8.6171875" defaultRowHeight="13.5" customHeight="0" zeroHeight="0" outlineLevelRow="0"/>
  <cols>
    <col width="9" customWidth="1" style="16" min="1" max="1"/>
    <col width="11" customWidth="1" style="16" min="2" max="2"/>
    <col width="42" customWidth="1" style="16" min="3" max="3"/>
    <col width="6" customWidth="1" style="16" min="4" max="4"/>
    <col width="11" customWidth="1" style="16" min="5" max="5"/>
    <col width="9" customWidth="1" style="16" min="6" max="6"/>
    <col width="70" customWidth="1" style="16" min="7" max="7"/>
    <col width="20" customWidth="1" style="16" min="8" max="8"/>
    <col width="11" customWidth="1" style="16" min="9" max="10"/>
    <col width="13" customWidth="1" style="16" min="11" max="11"/>
    <col width="30" customWidth="1" style="16" min="12" max="12"/>
  </cols>
  <sheetData>
    <row r="1" ht="17.25" customHeight="1" s="17">
      <c r="A1" s="18" t="inlineStr">
        <is>
          <t>SWP391 – TASK SHEET SPRINT 2 (06/10 → 19/10) – Flow 2 Class &amp; Booking</t>
        </is>
      </c>
    </row>
    <row r="2" ht="14.25" customHeight="1" s="17">
      <c r="A2" s="19" t="inlineStr">
        <is>
          <t>BE: Nhanh + Bảo · FE: Khôi + Khải · Business rule lấy từ SWP391_UCP_Sprint_Role_Split · ĐÃ HOÀN THÀNH 100% – mọi task Done, code đã merge vào main (chốt 14/10/2026)</t>
        </is>
      </c>
    </row>
    <row r="4" ht="13.5" customHeight="1" s="17">
      <c r="A4" s="20" t="inlineStr">
        <is>
          <t>Task ID</t>
        </is>
      </c>
      <c r="B4" s="20" t="inlineStr">
        <is>
          <t>US</t>
        </is>
      </c>
      <c r="C4" s="20" t="inlineStr">
        <is>
          <t>Function / Screen</t>
        </is>
      </c>
      <c r="D4" s="20" t="inlineStr">
        <is>
          <t>Loại</t>
        </is>
      </c>
      <c r="E4" s="20" t="inlineStr">
        <is>
          <t>Người làm</t>
        </is>
      </c>
      <c r="F4" s="20" t="inlineStr">
        <is>
          <t>Level</t>
        </is>
      </c>
      <c r="G4" s="20" t="inlineStr">
        <is>
          <t>Business Rule</t>
        </is>
      </c>
      <c r="H4" s="20" t="inlineStr">
        <is>
          <t>Nhánh</t>
        </is>
      </c>
      <c r="I4" s="20" t="inlineStr">
        <is>
          <t>Bắt đầu</t>
        </is>
      </c>
      <c r="J4" s="20" t="inlineStr">
        <is>
          <t>Hạn</t>
        </is>
      </c>
      <c r="K4" s="20" t="inlineStr">
        <is>
          <t>Trạng thái</t>
        </is>
      </c>
      <c r="L4" s="20" t="inlineStr">
        <is>
          <t>Ghi chú</t>
        </is>
      </c>
    </row>
    <row r="5" ht="60" customHeight="1" s="17">
      <c r="A5" s="21" t="inlineStr">
        <is>
          <t>S2-01</t>
        </is>
      </c>
      <c r="B5" s="21" t="inlineStr">
        <is>
          <t>UC-CB-01</t>
        </is>
      </c>
      <c r="C5" s="22" t="inlineStr">
        <is>
          <t>BE – Sửa danh sách bộ môn (màn 13): Manager tạo, đổi tên hoặc ngừng hoạt động bộ môn để sử dụng khi tạo lớp và phân loại lịch tập.</t>
        </is>
      </c>
      <c r="D5" s="23" t="inlineStr">
        <is>
          <t>BE</t>
        </is>
      </c>
      <c r="E5" s="21" t="inlineStr">
        <is>
          <t>Bảo</t>
        </is>
      </c>
      <c r="F5" s="21" t="inlineStr">
        <is>
          <t>Simple</t>
        </is>
      </c>
      <c r="G5" s="22" t="inlineStr">
        <is>
          <t>Tên bộ môn không trùng. Bộ môn đang có lớp OPEN không xoá cứng, chỉ chuyển ngừng hoạt động theo BR-2.12/BR-0.1; lớp và lịch cũ vẫn giữ tham chiếu.</t>
        </is>
      </c>
      <c r="H5" s="21" t="inlineStr">
        <is>
          <t>sprint-2/be-bao</t>
        </is>
      </c>
      <c r="I5" s="21" t="inlineStr">
        <is>
          <t>06/10/2026</t>
        </is>
      </c>
      <c r="J5" s="21" t="inlineStr">
        <is>
          <t>19/10/2026</t>
        </is>
      </c>
      <c r="K5" s="21" t="inlineStr">
        <is>
          <t>Done</t>
        </is>
      </c>
      <c r="L5" s="22" t="inlineStr">
        <is>
          <t>Đã xong, đã merge main</t>
        </is>
      </c>
    </row>
    <row r="6" ht="60" customHeight="1" s="17">
      <c r="A6" s="21" t="inlineStr">
        <is>
          <t>S2-02</t>
        </is>
      </c>
      <c r="B6" s="21" t="inlineStr">
        <is>
          <t>UC-CB-01</t>
        </is>
      </c>
      <c r="C6" s="22" t="inlineStr">
        <is>
          <t>FE – Sửa danh sách bộ môn (màn 13): Manager tạo, đổi tên hoặc ngừng hoạt động bộ môn để sử dụng khi tạo lớp và phân loại lịch tập.</t>
        </is>
      </c>
      <c r="D6" s="23" t="inlineStr">
        <is>
          <t>FE</t>
        </is>
      </c>
      <c r="E6" s="21" t="inlineStr">
        <is>
          <t>Khải</t>
        </is>
      </c>
      <c r="F6" s="21" t="inlineStr">
        <is>
          <t>Simple</t>
        </is>
      </c>
      <c r="G6" s="22" t="inlineStr">
        <is>
          <t>Tên bộ môn không trùng. Bộ môn đang có lớp OPEN không xoá cứng, chỉ chuyển ngừng hoạt động theo BR-2.12/BR-0.1; lớp và lịch cũ vẫn giữ tham chiếu.</t>
        </is>
      </c>
      <c r="H6" s="21" t="inlineStr">
        <is>
          <t>sprint-2/fe-khai</t>
        </is>
      </c>
      <c r="I6" s="21" t="inlineStr">
        <is>
          <t>06/10/2026</t>
        </is>
      </c>
      <c r="J6" s="21" t="inlineStr">
        <is>
          <t>19/10/2026</t>
        </is>
      </c>
      <c r="K6" s="21" t="inlineStr">
        <is>
          <t>Done</t>
        </is>
      </c>
      <c r="L6" s="22" t="inlineStr">
        <is>
          <t>Đã xong, đã merge main</t>
        </is>
      </c>
    </row>
    <row r="7" ht="60" customHeight="1" s="17">
      <c r="A7" s="21" t="inlineStr">
        <is>
          <t>S2-03</t>
        </is>
      </c>
      <c r="B7" s="21" t="inlineStr">
        <is>
          <t>UC-CB-14</t>
        </is>
      </c>
      <c r="C7" s="22" t="inlineStr">
        <is>
          <t>BE – Danh sách phòng tập (màn 13): hiển thị các phòng, sức chứa, trạng thái hoạt động và lớp đang được gán để phục vụ quản lý lịch.</t>
        </is>
      </c>
      <c r="D7" s="23" t="inlineStr">
        <is>
          <t>BE</t>
        </is>
      </c>
      <c r="E7" s="21" t="inlineStr">
        <is>
          <t>Bảo</t>
        </is>
      </c>
      <c r="F7" s="21" t="inlineStr">
        <is>
          <t>Simple</t>
        </is>
      </c>
      <c r="G7" s="22" t="inlineStr">
        <is>
          <t>Hiển thị phòng, sức chứa, trạng thái hoạt động và lớp đang gán; dữ liệu dùng để kiểm tra sức chứa và lịch. Phòng đã được tham chiếu không được làm mất khỏi lịch sử.</t>
        </is>
      </c>
      <c r="H7" s="21" t="inlineStr">
        <is>
          <t>sprint-2/be-bao</t>
        </is>
      </c>
      <c r="I7" s="21" t="inlineStr">
        <is>
          <t>06/10/2026</t>
        </is>
      </c>
      <c r="J7" s="21" t="inlineStr">
        <is>
          <t>19/10/2026</t>
        </is>
      </c>
      <c r="K7" s="21" t="inlineStr">
        <is>
          <t>Done</t>
        </is>
      </c>
      <c r="L7" s="22" t="inlineStr">
        <is>
          <t>Đã xong, đã merge main</t>
        </is>
      </c>
    </row>
    <row r="8" ht="60" customHeight="1" s="17">
      <c r="A8" s="21" t="inlineStr">
        <is>
          <t>S2-04</t>
        </is>
      </c>
      <c r="B8" s="21" t="inlineStr">
        <is>
          <t>UC-CB-14</t>
        </is>
      </c>
      <c r="C8" s="22" t="inlineStr">
        <is>
          <t>FE – Danh sách phòng tập (màn 13): hiển thị các phòng, sức chứa, trạng thái hoạt động và lớp đang được gán để phục vụ quản lý lịch.</t>
        </is>
      </c>
      <c r="D8" s="23" t="inlineStr">
        <is>
          <t>FE</t>
        </is>
      </c>
      <c r="E8" s="21" t="inlineStr">
        <is>
          <t>Khải</t>
        </is>
      </c>
      <c r="F8" s="21" t="inlineStr">
        <is>
          <t>Simple</t>
        </is>
      </c>
      <c r="G8" s="22" t="inlineStr">
        <is>
          <t>Hiển thị phòng, sức chứa, trạng thái hoạt động và lớp đang gán; dữ liệu dùng để kiểm tra sức chứa và lịch. Phòng đã được tham chiếu không được làm mất khỏi lịch sử.</t>
        </is>
      </c>
      <c r="H8" s="21" t="inlineStr">
        <is>
          <t>sprint-2/fe-khai</t>
        </is>
      </c>
      <c r="I8" s="21" t="inlineStr">
        <is>
          <t>06/10/2026</t>
        </is>
      </c>
      <c r="J8" s="21" t="inlineStr">
        <is>
          <t>19/10/2026</t>
        </is>
      </c>
      <c r="K8" s="21" t="inlineStr">
        <is>
          <t>Done</t>
        </is>
      </c>
      <c r="L8" s="22" t="inlineStr">
        <is>
          <t>Đã xong, đã merge main</t>
        </is>
      </c>
    </row>
    <row r="9" ht="60" customHeight="1" s="17">
      <c r="A9" s="21" t="inlineStr">
        <is>
          <t>S2-05</t>
        </is>
      </c>
      <c r="B9" s="21" t="inlineStr">
        <is>
          <t>UC-CB-14</t>
        </is>
      </c>
      <c r="C9" s="22" t="inlineStr">
        <is>
          <t>BE – Tạo / sửa / ngừng hoạt động phòng (màn 13): Manager tạo hoặc cập nhật phòng, sức chứa và trạng thái; hệ thống kiểm tra xung đột với lớp đã có.</t>
        </is>
      </c>
      <c r="D9" s="23" t="inlineStr">
        <is>
          <t>BE</t>
        </is>
      </c>
      <c r="E9" s="21" t="inlineStr">
        <is>
          <t>Bảo</t>
        </is>
      </c>
      <c r="F9" s="21" t="inlineStr">
        <is>
          <t>Medium</t>
        </is>
      </c>
      <c r="G9" s="22" t="inlineStr">
        <is>
          <t>Tên phòng không trùng, sức chứa phải lớn hơn 0. Phòng đang có lớp OPEN không được xoá, chỉ chuyển INACTIVE theo BR-2.12; không để sức chứa mới làm lớp hiện hữu vượt giới hạn theo BR-2.10 và ghi audit.</t>
        </is>
      </c>
      <c r="H9" s="21" t="inlineStr">
        <is>
          <t>sprint-2/be-bao</t>
        </is>
      </c>
      <c r="I9" s="21" t="inlineStr">
        <is>
          <t>06/10/2026</t>
        </is>
      </c>
      <c r="J9" s="21" t="inlineStr">
        <is>
          <t>19/10/2026</t>
        </is>
      </c>
      <c r="K9" s="21" t="inlineStr">
        <is>
          <t>Done</t>
        </is>
      </c>
      <c r="L9" s="22" t="inlineStr">
        <is>
          <t>Đã xong, đã merge main</t>
        </is>
      </c>
    </row>
    <row r="10" ht="60" customHeight="1" s="17">
      <c r="A10" s="21" t="inlineStr">
        <is>
          <t>S2-06</t>
        </is>
      </c>
      <c r="B10" s="21" t="inlineStr">
        <is>
          <t>UC-CB-14</t>
        </is>
      </c>
      <c r="C10" s="22" t="inlineStr">
        <is>
          <t>FE – Tạo / sửa / ngừng hoạt động phòng (màn 13): Manager tạo hoặc cập nhật phòng, sức chứa và trạng thái; hệ thống kiểm tra xung đột với lớp đã có.</t>
        </is>
      </c>
      <c r="D10" s="23" t="inlineStr">
        <is>
          <t>FE</t>
        </is>
      </c>
      <c r="E10" s="21" t="inlineStr">
        <is>
          <t>Khải</t>
        </is>
      </c>
      <c r="F10" s="21" t="inlineStr">
        <is>
          <t>Medium</t>
        </is>
      </c>
      <c r="G10" s="22" t="inlineStr">
        <is>
          <t>Tên phòng không trùng, sức chứa phải lớn hơn 0. Phòng đang có lớp OPEN không được xoá, chỉ chuyển INACTIVE theo BR-2.12; không để sức chứa mới làm lớp hiện hữu vượt giới hạn theo BR-2.10 và ghi audit.</t>
        </is>
      </c>
      <c r="H10" s="21" t="inlineStr">
        <is>
          <t>sprint-2/fe-khai</t>
        </is>
      </c>
      <c r="I10" s="21" t="inlineStr">
        <is>
          <t>06/10/2026</t>
        </is>
      </c>
      <c r="J10" s="21" t="inlineStr">
        <is>
          <t>19/10/2026</t>
        </is>
      </c>
      <c r="K10" s="21" t="inlineStr">
        <is>
          <t>Done</t>
        </is>
      </c>
      <c r="L10" s="22" t="inlineStr">
        <is>
          <t>Đã xong, đã merge main</t>
        </is>
      </c>
    </row>
    <row r="11" ht="60" customHeight="1" s="17">
      <c r="A11" s="21" t="inlineStr">
        <is>
          <t>S2-07</t>
        </is>
      </c>
      <c r="B11" s="21" t="inlineStr">
        <is>
          <t>UC-CB-02</t>
        </is>
      </c>
      <c r="C11" s="22" t="inlineStr">
        <is>
          <t>BE – Tạo lớp (màn 12): Manager nhập bộ môn, phòng, coach, sức chứa, khoảng ngày và lịch tuần; hệ thống kiểm tra dữ liệu rồi sinh các buổi học cụ thể.</t>
        </is>
      </c>
      <c r="D11" s="23" t="inlineStr">
        <is>
          <t>BE</t>
        </is>
      </c>
      <c r="E11" s="21" t="inlineStr">
        <is>
          <t>Bảo</t>
        </is>
      </c>
      <c r="F11" s="21" t="inlineStr">
        <is>
          <t>Medium</t>
        </is>
      </c>
      <c r="G11" s="22" t="inlineStr">
        <is>
          <t>BR-2.11: ngày kết thúc &gt;= ngày bắt đầu, ít nhất một buổi/tuần, giờ kết thúc &gt; giờ bắt đầu. BR-2.10: sức chứa lớp &lt;= sức chứa phòng; coach phải ACTIVE; coach và phòng không trùng theo từng buổi BR-2.4/2.8; lịch tuần được dùng để sinh buổi cụ thể.</t>
        </is>
      </c>
      <c r="H11" s="21" t="inlineStr">
        <is>
          <t>sprint-2/be-bao</t>
        </is>
      </c>
      <c r="I11" s="21" t="inlineStr">
        <is>
          <t>06/10/2026</t>
        </is>
      </c>
      <c r="J11" s="21" t="inlineStr">
        <is>
          <t>19/10/2026</t>
        </is>
      </c>
      <c r="K11" s="21" t="inlineStr">
        <is>
          <t>Done</t>
        </is>
      </c>
      <c r="L11" s="22" t="inlineStr">
        <is>
          <t>Đã xong, đã merge main</t>
        </is>
      </c>
    </row>
    <row r="12" ht="60" customHeight="1" s="17">
      <c r="A12" s="21" t="inlineStr">
        <is>
          <t>S2-08</t>
        </is>
      </c>
      <c r="B12" s="21" t="inlineStr">
        <is>
          <t>UC-CB-02</t>
        </is>
      </c>
      <c r="C12" s="22" t="inlineStr">
        <is>
          <t>FE – Tạo lớp (màn 12): Manager nhập bộ môn, phòng, coach, sức chứa, khoảng ngày và lịch tuần; hệ thống kiểm tra dữ liệu rồi sinh các buổi học cụ thể.</t>
        </is>
      </c>
      <c r="D12" s="23" t="inlineStr">
        <is>
          <t>FE</t>
        </is>
      </c>
      <c r="E12" s="21" t="inlineStr">
        <is>
          <t>Khải</t>
        </is>
      </c>
      <c r="F12" s="21" t="inlineStr">
        <is>
          <t>Medium</t>
        </is>
      </c>
      <c r="G12" s="22" t="inlineStr">
        <is>
          <t>BR-2.11: ngày kết thúc &gt;= ngày bắt đầu, ít nhất một buổi/tuần, giờ kết thúc &gt; giờ bắt đầu. BR-2.10: sức chứa lớp &lt;= sức chứa phòng; coach phải ACTIVE; coach và phòng không trùng theo từng buổi BR-2.4/2.8; lịch tuần được dùng để sinh buổi cụ thể.</t>
        </is>
      </c>
      <c r="H12" s="21" t="inlineStr">
        <is>
          <t>sprint-2/fe-khai</t>
        </is>
      </c>
      <c r="I12" s="21" t="inlineStr">
        <is>
          <t>06/10/2026</t>
        </is>
      </c>
      <c r="J12" s="21" t="inlineStr">
        <is>
          <t>19/10/2026</t>
        </is>
      </c>
      <c r="K12" s="21" t="inlineStr">
        <is>
          <t>Done</t>
        </is>
      </c>
      <c r="L12" s="22" t="inlineStr">
        <is>
          <t>Đã xong, đã merge main</t>
        </is>
      </c>
    </row>
    <row r="13" ht="75" customHeight="1" s="17">
      <c r="A13" s="21" t="inlineStr">
        <is>
          <t>S2-09</t>
        </is>
      </c>
      <c r="B13" s="21" t="inlineStr">
        <is>
          <t>UC-CB-03</t>
        </is>
      </c>
      <c r="C13" s="22" t="inlineStr">
        <is>
          <t>BE – Sửa lớp / đổi lịch (màn 12): Manager thay đổi thông tin lớp hoặc lịch buổi; hệ thống kiểm tra booking hiện có, xung đột mới và gửi thông báo cho hội viên bị ảnh hưởng.</t>
        </is>
      </c>
      <c r="D13" s="23" t="inlineStr">
        <is>
          <t>BE</t>
        </is>
      </c>
      <c r="E13" s="21" t="inlineStr">
        <is>
          <t>Bảo</t>
        </is>
      </c>
      <c r="F13" s="21" t="inlineStr">
        <is>
          <t>Medium</t>
        </is>
      </c>
      <c r="G13" s="22" t="inlineStr">
        <is>
          <t>Kiểm tra lại số hội viên đã đăng ký và toàn bộ buổi chưa diễn ra. Sức chứa mới không nhỏ hơn số đã đăng ký theo BR-2.9; lịch mới không xung đột; hội viên bị ảnh hưởng nhận thông báo và được tự huỷ miễn phí nếu phát sinh trùng, không tự động huỷ theo BR-2.7/2.15.</t>
        </is>
      </c>
      <c r="H13" s="21" t="inlineStr">
        <is>
          <t>sprint-2/be-bao</t>
        </is>
      </c>
      <c r="I13" s="21" t="inlineStr">
        <is>
          <t>06/10/2026</t>
        </is>
      </c>
      <c r="J13" s="21" t="inlineStr">
        <is>
          <t>19/10/2026</t>
        </is>
      </c>
      <c r="K13" s="21" t="inlineStr">
        <is>
          <t>Done</t>
        </is>
      </c>
      <c r="L13" s="22" t="inlineStr">
        <is>
          <t>Đã xong, đã merge main</t>
        </is>
      </c>
    </row>
    <row r="14" ht="75" customHeight="1" s="17">
      <c r="A14" s="21" t="inlineStr">
        <is>
          <t>S2-10</t>
        </is>
      </c>
      <c r="B14" s="21" t="inlineStr">
        <is>
          <t>UC-CB-03</t>
        </is>
      </c>
      <c r="C14" s="22" t="inlineStr">
        <is>
          <t>FE – Sửa lớp / đổi lịch (màn 12): Manager thay đổi thông tin lớp hoặc lịch buổi; hệ thống kiểm tra booking hiện có, xung đột mới và gửi thông báo cho hội viên bị ảnh hưởng.</t>
        </is>
      </c>
      <c r="D14" s="23" t="inlineStr">
        <is>
          <t>FE</t>
        </is>
      </c>
      <c r="E14" s="21" t="inlineStr">
        <is>
          <t>Khải</t>
        </is>
      </c>
      <c r="F14" s="21" t="inlineStr">
        <is>
          <t>Medium</t>
        </is>
      </c>
      <c r="G14" s="22" t="inlineStr">
        <is>
          <t>Kiểm tra lại số hội viên đã đăng ký và toàn bộ buổi chưa diễn ra. Sức chứa mới không nhỏ hơn số đã đăng ký theo BR-2.9; lịch mới không xung đột; hội viên bị ảnh hưởng nhận thông báo và được tự huỷ miễn phí nếu phát sinh trùng, không tự động huỷ theo BR-2.7/2.15.</t>
        </is>
      </c>
      <c r="H14" s="21" t="inlineStr">
        <is>
          <t>sprint-2/fe-khai</t>
        </is>
      </c>
      <c r="I14" s="21" t="inlineStr">
        <is>
          <t>06/10/2026</t>
        </is>
      </c>
      <c r="J14" s="21" t="inlineStr">
        <is>
          <t>19/10/2026</t>
        </is>
      </c>
      <c r="K14" s="21" t="inlineStr">
        <is>
          <t>Done</t>
        </is>
      </c>
      <c r="L14" s="22" t="inlineStr">
        <is>
          <t>Đã xong, đã merge main</t>
        </is>
      </c>
    </row>
    <row r="15" ht="60" customHeight="1" s="17">
      <c r="A15" s="21" t="inlineStr">
        <is>
          <t>S2-11</t>
        </is>
      </c>
      <c r="B15" s="21" t="inlineStr">
        <is>
          <t>UC-CB-04</t>
        </is>
      </c>
      <c r="C15" s="22" t="inlineStr">
        <is>
          <t>BE – Huỷ lớp (màn S25): Manager huỷ lớp hoặc các buổi chưa diễn ra, cập nhật trạng thái booking liên quan và thông báo cho hội viên đã đăng ký.</t>
        </is>
      </c>
      <c r="D15" s="23" t="inlineStr">
        <is>
          <t>BE</t>
        </is>
      </c>
      <c r="E15" s="21" t="inlineStr">
        <is>
          <t>Bảo</t>
        </is>
      </c>
      <c r="F15" s="21" t="inlineStr">
        <is>
          <t>Medium</t>
        </is>
      </c>
      <c r="G15" s="22" t="inlineStr">
        <is>
          <t>Chỉ huỷ buổi/lớp chưa diễn ra bằng đổi trạng thái, không xoá dữ liệu lịch sử theo BR-0.1. Booking liên quan được cập nhật theo policy, hội viên nhận thông báo và lớp đã huỷ không tiếp tục nhận đăng ký.</t>
        </is>
      </c>
      <c r="H15" s="21" t="inlineStr">
        <is>
          <t>sprint-2/be-bao</t>
        </is>
      </c>
      <c r="I15" s="21" t="inlineStr">
        <is>
          <t>06/10/2026</t>
        </is>
      </c>
      <c r="J15" s="21" t="inlineStr">
        <is>
          <t>19/10/2026</t>
        </is>
      </c>
      <c r="K15" s="21" t="inlineStr">
        <is>
          <t>Done</t>
        </is>
      </c>
      <c r="L15" s="22" t="inlineStr">
        <is>
          <t>Đã xong, đã merge main</t>
        </is>
      </c>
    </row>
    <row r="16" ht="60" customHeight="1" s="17">
      <c r="A16" s="21" t="inlineStr">
        <is>
          <t>S2-12</t>
        </is>
      </c>
      <c r="B16" s="21" t="inlineStr">
        <is>
          <t>UC-CB-04</t>
        </is>
      </c>
      <c r="C16" s="22" t="inlineStr">
        <is>
          <t>FE – Huỷ lớp (màn S25): Manager huỷ lớp hoặc các buổi chưa diễn ra, cập nhật trạng thái booking liên quan và thông báo cho hội viên đã đăng ký.</t>
        </is>
      </c>
      <c r="D16" s="23" t="inlineStr">
        <is>
          <t>FE</t>
        </is>
      </c>
      <c r="E16" s="21" t="inlineStr">
        <is>
          <t>Khải</t>
        </is>
      </c>
      <c r="F16" s="21" t="inlineStr">
        <is>
          <t>Medium</t>
        </is>
      </c>
      <c r="G16" s="22" t="inlineStr">
        <is>
          <t>Chỉ huỷ buổi/lớp chưa diễn ra bằng đổi trạng thái, không xoá dữ liệu lịch sử theo BR-0.1. Booking liên quan được cập nhật theo policy, hội viên nhận thông báo và lớp đã huỷ không tiếp tục nhận đăng ký.</t>
        </is>
      </c>
      <c r="H16" s="21" t="inlineStr">
        <is>
          <t>sprint-2/fe-khai</t>
        </is>
      </c>
      <c r="I16" s="21" t="inlineStr">
        <is>
          <t>06/10/2026</t>
        </is>
      </c>
      <c r="J16" s="21" t="inlineStr">
        <is>
          <t>19/10/2026</t>
        </is>
      </c>
      <c r="K16" s="21" t="inlineStr">
        <is>
          <t>Done</t>
        </is>
      </c>
      <c r="L16" s="22" t="inlineStr">
        <is>
          <t>Đã xong, đã merge main</t>
        </is>
      </c>
    </row>
    <row r="17" ht="60" customHeight="1" s="17">
      <c r="A17" s="21" t="inlineStr">
        <is>
          <t>S2-13</t>
        </is>
      </c>
      <c r="B17" s="21" t="inlineStr">
        <is>
          <t>UC-CB-13</t>
        </is>
      </c>
      <c r="C17" s="22" t="inlineStr">
        <is>
          <t>BE – Gửi thông báo thay đổi lớp (hệ thống): job hệ thống xác định hội viên bị ảnh hưởng bởi đổi/huỷ lớp và gửi một thông báo cho từng người.</t>
        </is>
      </c>
      <c r="D17" s="23" t="inlineStr">
        <is>
          <t>BE</t>
        </is>
      </c>
      <c r="E17" s="21" t="inlineStr">
        <is>
          <t>Bảo</t>
        </is>
      </c>
      <c r="F17" s="21" t="inlineStr">
        <is>
          <t>Medium</t>
        </is>
      </c>
      <c r="G17" s="22" t="inlineStr">
        <is>
          <t>Job lấy đúng hội viên đang đăng ký của lớp/buổi bị đổi hoặc huỷ và tạo một thông báo cho mỗi người. Không gửi trùng cùng một thay đổi; lỗi gửi vào retry queue và không gửi cho người không bị ảnh hưởng theo BR-2.7.</t>
        </is>
      </c>
      <c r="H17" s="21" t="inlineStr">
        <is>
          <t>sprint-2/be-bao</t>
        </is>
      </c>
      <c r="I17" s="21" t="inlineStr">
        <is>
          <t>06/10/2026</t>
        </is>
      </c>
      <c r="J17" s="21" t="inlineStr">
        <is>
          <t>19/10/2026</t>
        </is>
      </c>
      <c r="K17" s="21" t="inlineStr">
        <is>
          <t>Done</t>
        </is>
      </c>
      <c r="L17" s="22" t="inlineStr">
        <is>
          <t>Đã xong, đã merge main</t>
        </is>
      </c>
    </row>
    <row r="18" ht="60" customHeight="1" s="17">
      <c r="A18" s="21" t="inlineStr">
        <is>
          <t>S2-14</t>
        </is>
      </c>
      <c r="B18" s="21" t="inlineStr">
        <is>
          <t>UC-CB-05</t>
        </is>
      </c>
      <c r="C18" s="22" t="inlineStr">
        <is>
          <t>BE – Danh sách lớp đang mở (màn 9): hội viên xem các lớp đang nhận đăng ký, lịch từng buổi, coach, phòng, sức chứa và số chỗ còn lại.</t>
        </is>
      </c>
      <c r="D18" s="23" t="inlineStr">
        <is>
          <t>BE</t>
        </is>
      </c>
      <c r="E18" s="21" t="inlineStr">
        <is>
          <t>Bảo</t>
        </is>
      </c>
      <c r="F18" s="21" t="inlineStr">
        <is>
          <t>Simple</t>
        </is>
      </c>
      <c r="G18" s="22" t="inlineStr">
        <is>
          <t>Chỉ lớp OPEN và đang trong khoảng ngày nhận đăng ký theo BR-2.6. Hiển thị lịch từng buổi, coach, phòng, sức chứa và số chỗ còn theo dữ liệu booking hiện tại, không chỉ theo giá trị lưu cũ.</t>
        </is>
      </c>
      <c r="H18" s="21" t="inlineStr">
        <is>
          <t>sprint-2/be-bao</t>
        </is>
      </c>
      <c r="I18" s="21" t="inlineStr">
        <is>
          <t>06/10/2026</t>
        </is>
      </c>
      <c r="J18" s="21" t="inlineStr">
        <is>
          <t>19/10/2026</t>
        </is>
      </c>
      <c r="K18" s="21" t="inlineStr">
        <is>
          <t>Done</t>
        </is>
      </c>
      <c r="L18" s="22" t="inlineStr">
        <is>
          <t>Đã xong, đã merge main</t>
        </is>
      </c>
    </row>
    <row r="19" ht="60" customHeight="1" s="17">
      <c r="A19" s="21" t="inlineStr">
        <is>
          <t>S2-15</t>
        </is>
      </c>
      <c r="B19" s="21" t="inlineStr">
        <is>
          <t>UC-CB-05</t>
        </is>
      </c>
      <c r="C19" s="22" t="inlineStr">
        <is>
          <t>FE – Danh sách lớp đang mở (màn 9): hội viên xem các lớp đang nhận đăng ký, lịch từng buổi, coach, phòng, sức chứa và số chỗ còn lại.</t>
        </is>
      </c>
      <c r="D19" s="23" t="inlineStr">
        <is>
          <t>FE</t>
        </is>
      </c>
      <c r="E19" s="21" t="inlineStr">
        <is>
          <t>Khải</t>
        </is>
      </c>
      <c r="F19" s="21" t="inlineStr">
        <is>
          <t>Simple</t>
        </is>
      </c>
      <c r="G19" s="22" t="inlineStr">
        <is>
          <t>Chỉ lớp OPEN và đang trong khoảng ngày nhận đăng ký theo BR-2.6. Hiển thị lịch từng buổi, coach, phòng, sức chứa và số chỗ còn theo dữ liệu booking hiện tại, không chỉ theo giá trị lưu cũ.</t>
        </is>
      </c>
      <c r="H19" s="21" t="inlineStr">
        <is>
          <t>sprint-2/fe-khai</t>
        </is>
      </c>
      <c r="I19" s="21" t="inlineStr">
        <is>
          <t>06/10/2026</t>
        </is>
      </c>
      <c r="J19" s="21" t="inlineStr">
        <is>
          <t>19/10/2026</t>
        </is>
      </c>
      <c r="K19" s="21" t="inlineStr">
        <is>
          <t>Done</t>
        </is>
      </c>
      <c r="L19" s="22" t="inlineStr">
        <is>
          <t>Đã xong, đã merge main</t>
        </is>
      </c>
    </row>
    <row r="20" ht="60" customHeight="1" s="17">
      <c r="A20" s="21" t="inlineStr">
        <is>
          <t>S2-16</t>
        </is>
      </c>
      <c r="B20" s="21" t="inlineStr">
        <is>
          <t>UC-CB-15</t>
        </is>
      </c>
      <c r="C20" s="22" t="inlineStr">
        <is>
          <t>BE – Chi tiết lớp (màn S24): hiển thị đầy đủ thông tin lớp/buổi học, trạng thái đăng ký, số chỗ và mốc thời gian được phép huỷ.</t>
        </is>
      </c>
      <c r="D20" s="23" t="inlineStr">
        <is>
          <t>BE</t>
        </is>
      </c>
      <c r="E20" s="21" t="inlineStr">
        <is>
          <t>Bảo</t>
        </is>
      </c>
      <c r="F20" s="21" t="inlineStr">
        <is>
          <t>Simple</t>
        </is>
      </c>
      <c r="G20" s="22" t="inlineStr">
        <is>
          <t>Hiển thị coach, phòng, lịch từng buổi, số chỗ, trạng thái đăng ký và mốc huỷ. Mốc huỷ lấy từ cấu hình, mặc định 12 giờ; trùng giờ xét theo ngày/giờ từng buổi và múi giờ Việt Nam theo BR-2.5/2.8/2.14.</t>
        </is>
      </c>
      <c r="H20" s="21" t="inlineStr">
        <is>
          <t>sprint-2/be-bao</t>
        </is>
      </c>
      <c r="I20" s="21" t="inlineStr">
        <is>
          <t>06/10/2026</t>
        </is>
      </c>
      <c r="J20" s="21" t="inlineStr">
        <is>
          <t>19/10/2026</t>
        </is>
      </c>
      <c r="K20" s="21" t="inlineStr">
        <is>
          <t>Done</t>
        </is>
      </c>
      <c r="L20" s="22" t="inlineStr">
        <is>
          <t>Đã xong, đã merge main</t>
        </is>
      </c>
    </row>
    <row r="21" ht="60" customHeight="1" s="17">
      <c r="A21" s="21" t="inlineStr">
        <is>
          <t>S2-17</t>
        </is>
      </c>
      <c r="B21" s="21" t="inlineStr">
        <is>
          <t>UC-CB-15</t>
        </is>
      </c>
      <c r="C21" s="22" t="inlineStr">
        <is>
          <t>FE – Chi tiết lớp (màn S24): hiển thị đầy đủ thông tin lớp/buổi học, trạng thái đăng ký, số chỗ và mốc thời gian được phép huỷ.</t>
        </is>
      </c>
      <c r="D21" s="23" t="inlineStr">
        <is>
          <t>FE</t>
        </is>
      </c>
      <c r="E21" s="21" t="inlineStr">
        <is>
          <t>Khải</t>
        </is>
      </c>
      <c r="F21" s="21" t="inlineStr">
        <is>
          <t>Simple</t>
        </is>
      </c>
      <c r="G21" s="22" t="inlineStr">
        <is>
          <t>Hiển thị coach, phòng, lịch từng buổi, số chỗ, trạng thái đăng ký và mốc huỷ. Mốc huỷ lấy từ cấu hình, mặc định 12 giờ; trùng giờ xét theo ngày/giờ từng buổi và múi giờ Việt Nam theo BR-2.5/2.8/2.14.</t>
        </is>
      </c>
      <c r="H21" s="21" t="inlineStr">
        <is>
          <t>sprint-2/fe-khai</t>
        </is>
      </c>
      <c r="I21" s="21" t="inlineStr">
        <is>
          <t>06/10/2026</t>
        </is>
      </c>
      <c r="J21" s="21" t="inlineStr">
        <is>
          <t>19/10/2026</t>
        </is>
      </c>
      <c r="K21" s="21" t="inlineStr">
        <is>
          <t>Done</t>
        </is>
      </c>
      <c r="L21" s="22" t="inlineStr">
        <is>
          <t>Đã xong, đã merge main</t>
        </is>
      </c>
    </row>
    <row r="22" ht="60" customHeight="1" s="17">
      <c r="A22" s="21" t="inlineStr">
        <is>
          <t>S2-18</t>
        </is>
      </c>
      <c r="B22" s="21" t="inlineStr">
        <is>
          <t>UC-CB-17</t>
        </is>
      </c>
      <c r="C22" s="22" t="inlineStr">
        <is>
          <t>BE – Danh sách lớp (quản lý) (màn S25): Manager hoặc coach xem danh sách lớp theo ngày, trạng thái, bộ môn hoặc coach trong phạm vi được phân quyền.</t>
        </is>
      </c>
      <c r="D22" s="23" t="inlineStr">
        <is>
          <t>BE</t>
        </is>
      </c>
      <c r="E22" s="21" t="inlineStr">
        <is>
          <t>Nhanh</t>
        </is>
      </c>
      <c r="F22" s="21" t="inlineStr">
        <is>
          <t>Simple</t>
        </is>
      </c>
      <c r="G22" s="22" t="inlineStr">
        <is>
          <t>Manager xem phạm vi quản lý; coach chỉ xem lớp được phân công nếu không có quyền quản trị. Bộ lọc ngày, trạng thái, bộ môn và coach phải tôn trọng RBAC, không lộ lớp ngoài phạm vi.</t>
        </is>
      </c>
      <c r="H22" s="21" t="inlineStr">
        <is>
          <t>sprint-2/be-nhanh</t>
        </is>
      </c>
      <c r="I22" s="21" t="inlineStr">
        <is>
          <t>06/10/2026</t>
        </is>
      </c>
      <c r="J22" s="21" t="inlineStr">
        <is>
          <t>19/10/2026</t>
        </is>
      </c>
      <c r="K22" s="21" t="inlineStr">
        <is>
          <t>Done</t>
        </is>
      </c>
      <c r="L22" s="22" t="inlineStr">
        <is>
          <t>Đã xong, đã merge main</t>
        </is>
      </c>
    </row>
    <row r="23" ht="60" customHeight="1" s="17">
      <c r="A23" s="21" t="inlineStr">
        <is>
          <t>S2-19</t>
        </is>
      </c>
      <c r="B23" s="21" t="inlineStr">
        <is>
          <t>UC-CB-17</t>
        </is>
      </c>
      <c r="C23" s="22" t="inlineStr">
        <is>
          <t>FE – Danh sách lớp (quản lý) (màn S25): Manager hoặc coach xem danh sách lớp theo ngày, trạng thái, bộ môn hoặc coach trong phạm vi được phân quyền.</t>
        </is>
      </c>
      <c r="D23" s="23" t="inlineStr">
        <is>
          <t>FE</t>
        </is>
      </c>
      <c r="E23" s="21" t="inlineStr">
        <is>
          <t>Khôi</t>
        </is>
      </c>
      <c r="F23" s="21" t="inlineStr">
        <is>
          <t>Simple</t>
        </is>
      </c>
      <c r="G23" s="22" t="inlineStr">
        <is>
          <t>Manager xem phạm vi quản lý; coach chỉ xem lớp được phân công nếu không có quyền quản trị. Bộ lọc ngày, trạng thái, bộ môn và coach phải tôn trọng RBAC, không lộ lớp ngoài phạm vi.</t>
        </is>
      </c>
      <c r="H23" s="21" t="inlineStr">
        <is>
          <t>sprint-2/fe-khoi</t>
        </is>
      </c>
      <c r="I23" s="21" t="inlineStr">
        <is>
          <t>06/10/2026</t>
        </is>
      </c>
      <c r="J23" s="21" t="inlineStr">
        <is>
          <t>19/10/2026</t>
        </is>
      </c>
      <c r="K23" s="21" t="inlineStr">
        <is>
          <t>Done</t>
        </is>
      </c>
      <c r="L23" s="22" t="inlineStr">
        <is>
          <t>Đã xong, đã merge main</t>
        </is>
      </c>
    </row>
    <row r="24" ht="60" customHeight="1" s="17">
      <c r="A24" s="21" t="inlineStr">
        <is>
          <t>S2-20</t>
        </is>
      </c>
      <c r="B24" s="21" t="inlineStr">
        <is>
          <t>UC-CB-17</t>
        </is>
      </c>
      <c r="C24" s="22" t="inlineStr">
        <is>
          <t>BE – Chi tiết lớp và học viên (quản lý) (màn S26): người có quyền mở một lớp để xem từng buổi, danh sách hội viên, trạng thái booking và các thay đổi lịch.</t>
        </is>
      </c>
      <c r="D24" s="23" t="inlineStr">
        <is>
          <t>BE</t>
        </is>
      </c>
      <c r="E24" s="21" t="inlineStr">
        <is>
          <t>Nhanh</t>
        </is>
      </c>
      <c r="F24" s="21" t="inlineStr">
        <is>
          <t>Simple</t>
        </is>
      </c>
      <c r="G24" s="22" t="inlineStr">
        <is>
          <t>Chỉ người có permission quản lý lớp hoặc coach phụ trách được xem. Hiển thị từng buổi, danh sách hội viên, trạng thái booking/cancel và thông báo; màn hình không xoá lịch sử đăng ký.</t>
        </is>
      </c>
      <c r="H24" s="21" t="inlineStr">
        <is>
          <t>sprint-2/be-nhanh</t>
        </is>
      </c>
      <c r="I24" s="21" t="inlineStr">
        <is>
          <t>06/10/2026</t>
        </is>
      </c>
      <c r="J24" s="21" t="inlineStr">
        <is>
          <t>19/10/2026</t>
        </is>
      </c>
      <c r="K24" s="21" t="inlineStr">
        <is>
          <t>Done</t>
        </is>
      </c>
      <c r="L24" s="22" t="inlineStr">
        <is>
          <t>Đã xong, đã merge main</t>
        </is>
      </c>
    </row>
    <row r="25" ht="60" customHeight="1" s="17">
      <c r="A25" s="21" t="inlineStr">
        <is>
          <t>S2-21</t>
        </is>
      </c>
      <c r="B25" s="21" t="inlineStr">
        <is>
          <t>UC-CB-17</t>
        </is>
      </c>
      <c r="C25" s="22" t="inlineStr">
        <is>
          <t>FE – Chi tiết lớp và học viên (quản lý) (màn S26): người có quyền mở một lớp để xem từng buổi, danh sách hội viên, trạng thái booking và các thay đổi lịch.</t>
        </is>
      </c>
      <c r="D25" s="23" t="inlineStr">
        <is>
          <t>FE</t>
        </is>
      </c>
      <c r="E25" s="21" t="inlineStr">
        <is>
          <t>Khôi</t>
        </is>
      </c>
      <c r="F25" s="21" t="inlineStr">
        <is>
          <t>Simple</t>
        </is>
      </c>
      <c r="G25" s="22" t="inlineStr">
        <is>
          <t>Chỉ người có permission quản lý lớp hoặc coach phụ trách được xem. Hiển thị từng buổi, danh sách hội viên, trạng thái booking/cancel và thông báo; màn hình không xoá lịch sử đăng ký.</t>
        </is>
      </c>
      <c r="H25" s="21" t="inlineStr">
        <is>
          <t>sprint-2/fe-khoi</t>
        </is>
      </c>
      <c r="I25" s="21" t="inlineStr">
        <is>
          <t>06/10/2026</t>
        </is>
      </c>
      <c r="J25" s="21" t="inlineStr">
        <is>
          <t>19/10/2026</t>
        </is>
      </c>
      <c r="K25" s="21" t="inlineStr">
        <is>
          <t>Done</t>
        </is>
      </c>
      <c r="L25" s="22" t="inlineStr">
        <is>
          <t>Đã xong, đã merge main</t>
        </is>
      </c>
    </row>
    <row r="26" ht="60" customHeight="1" s="17">
      <c r="A26" s="21" t="inlineStr">
        <is>
          <t>S2-22</t>
        </is>
      </c>
      <c r="B26" s="21" t="inlineStr">
        <is>
          <t>UC-CB-06</t>
        </is>
      </c>
      <c r="C26" s="22" t="inlineStr">
        <is>
          <t>BE – Đăng ký lớp (màn 9): Member chọn một lớp/buổi cụ thể; hệ thống kiểm tra membership, thời gian mở đăng ký, chỗ trống và xung đột lịch trước khi giữ chỗ.</t>
        </is>
      </c>
      <c r="D26" s="23" t="inlineStr">
        <is>
          <t>BE</t>
        </is>
      </c>
      <c r="E26" s="21" t="inlineStr">
        <is>
          <t>Nhanh</t>
        </is>
      </c>
      <c r="F26" s="21" t="inlineStr">
        <is>
          <t>Medium</t>
        </is>
      </c>
      <c r="G26" s="22" t="inlineStr">
        <is>
          <t>BR-2.1/1.5: phải có membership còn hiệu lực; BR-2.6: lớp OPEN và còn thời gian đăng ký; BR-2.2/2.3/2.8: đủ chỗ và không trùng lịch. Dùng khoá/transaction để hai người tranh chỗ cuối chỉ một người thành công; đăng ký trùng trả 409.</t>
        </is>
      </c>
      <c r="H26" s="21" t="inlineStr">
        <is>
          <t>sprint-2/be-nhanh</t>
        </is>
      </c>
      <c r="I26" s="21" t="inlineStr">
        <is>
          <t>06/10/2026</t>
        </is>
      </c>
      <c r="J26" s="21" t="inlineStr">
        <is>
          <t>19/10/2026</t>
        </is>
      </c>
      <c r="K26" s="21" t="inlineStr">
        <is>
          <t>Done</t>
        </is>
      </c>
      <c r="L26" s="22" t="inlineStr">
        <is>
          <t>Đã xong, đã merge main</t>
        </is>
      </c>
    </row>
    <row r="27" ht="60" customHeight="1" s="17">
      <c r="A27" s="21" t="inlineStr">
        <is>
          <t>S2-23</t>
        </is>
      </c>
      <c r="B27" s="21" t="inlineStr">
        <is>
          <t>UC-CB-06</t>
        </is>
      </c>
      <c r="C27" s="22" t="inlineStr">
        <is>
          <t>FE – Đăng ký lớp (màn 9): Member chọn một lớp/buổi cụ thể; hệ thống kiểm tra membership, thời gian mở đăng ký, chỗ trống và xung đột lịch trước khi giữ chỗ.</t>
        </is>
      </c>
      <c r="D27" s="23" t="inlineStr">
        <is>
          <t>FE</t>
        </is>
      </c>
      <c r="E27" s="21" t="inlineStr">
        <is>
          <t>Khôi</t>
        </is>
      </c>
      <c r="F27" s="21" t="inlineStr">
        <is>
          <t>Medium</t>
        </is>
      </c>
      <c r="G27" s="22" t="inlineStr">
        <is>
          <t>BR-2.1/1.5: phải có membership còn hiệu lực; BR-2.6: lớp OPEN và còn thời gian đăng ký; BR-2.2/2.3/2.8: đủ chỗ và không trùng lịch. Dùng khoá/transaction để hai người tranh chỗ cuối chỉ một người thành công; đăng ký trùng trả 409.</t>
        </is>
      </c>
      <c r="H27" s="21" t="inlineStr">
        <is>
          <t>sprint-2/fe-khoi</t>
        </is>
      </c>
      <c r="I27" s="21" t="inlineStr">
        <is>
          <t>06/10/2026</t>
        </is>
      </c>
      <c r="J27" s="21" t="inlineStr">
        <is>
          <t>19/10/2026</t>
        </is>
      </c>
      <c r="K27" s="21" t="inlineStr">
        <is>
          <t>Done</t>
        </is>
      </c>
      <c r="L27" s="22" t="inlineStr">
        <is>
          <t>Đã xong, đã merge main</t>
        </is>
      </c>
    </row>
    <row r="28" ht="60" customHeight="1" s="17">
      <c r="A28" s="21" t="inlineStr">
        <is>
          <t>S2-24</t>
        </is>
      </c>
      <c r="B28" s="21" t="inlineStr">
        <is>
          <t>UC-CB-07</t>
        </is>
      </c>
      <c r="C28" s="22" t="inlineStr">
        <is>
          <t>BE – Huỷ đăng ký lớp (màn 10): Member chọn booking của mình để huỷ; hệ thống kiểm tra mốc thời gian tối thiểu trước buổi học rồi cập nhật trạng thái.</t>
        </is>
      </c>
      <c r="D28" s="23" t="inlineStr">
        <is>
          <t>BE</t>
        </is>
      </c>
      <c r="E28" s="21" t="inlineStr">
        <is>
          <t>Nhanh</t>
        </is>
      </c>
      <c r="F28" s="21" t="inlineStr">
        <is>
          <t>Medium</t>
        </is>
      </c>
      <c r="G28" s="22" t="inlineStr">
        <is>
          <t>Lấy buổi gần nhất chưa diễn ra và so sánh thời gian còn lại với N giờ cấu hình, mặc định 12 giờ. Chỉ huỷ khi còn &gt;= N giờ theo múi giờ Việt Nam; chỉ huỷ booking của mình theo BR-2.5/2.14.</t>
        </is>
      </c>
      <c r="H28" s="21" t="inlineStr">
        <is>
          <t>sprint-2/be-nhanh</t>
        </is>
      </c>
      <c r="I28" s="21" t="inlineStr">
        <is>
          <t>06/10/2026</t>
        </is>
      </c>
      <c r="J28" s="21" t="inlineStr">
        <is>
          <t>19/10/2026</t>
        </is>
      </c>
      <c r="K28" s="21" t="inlineStr">
        <is>
          <t>Done</t>
        </is>
      </c>
      <c r="L28" s="22" t="inlineStr">
        <is>
          <t>Đã xong, đã merge main</t>
        </is>
      </c>
    </row>
    <row r="29" ht="60" customHeight="1" s="17">
      <c r="A29" s="21" t="inlineStr">
        <is>
          <t>S2-25</t>
        </is>
      </c>
      <c r="B29" s="21" t="inlineStr">
        <is>
          <t>UC-CB-07</t>
        </is>
      </c>
      <c r="C29" s="22" t="inlineStr">
        <is>
          <t>FE – Huỷ đăng ký lớp (màn 10): Member chọn booking của mình để huỷ; hệ thống kiểm tra mốc thời gian tối thiểu trước buổi học rồi cập nhật trạng thái.</t>
        </is>
      </c>
      <c r="D29" s="23" t="inlineStr">
        <is>
          <t>FE</t>
        </is>
      </c>
      <c r="E29" s="21" t="inlineStr">
        <is>
          <t>Khôi</t>
        </is>
      </c>
      <c r="F29" s="21" t="inlineStr">
        <is>
          <t>Medium</t>
        </is>
      </c>
      <c r="G29" s="22" t="inlineStr">
        <is>
          <t>Lấy buổi gần nhất chưa diễn ra và so sánh thời gian còn lại với N giờ cấu hình, mặc định 12 giờ. Chỉ huỷ khi còn &gt;= N giờ theo múi giờ Việt Nam; chỉ huỷ booking của mình theo BR-2.5/2.14.</t>
        </is>
      </c>
      <c r="H29" s="21" t="inlineStr">
        <is>
          <t>sprint-2/fe-khoi</t>
        </is>
      </c>
      <c r="I29" s="21" t="inlineStr">
        <is>
          <t>06/10/2026</t>
        </is>
      </c>
      <c r="J29" s="21" t="inlineStr">
        <is>
          <t>19/10/2026</t>
        </is>
      </c>
      <c r="K29" s="21" t="inlineStr">
        <is>
          <t>Done</t>
        </is>
      </c>
      <c r="L29" s="22" t="inlineStr">
        <is>
          <t>Đã xong, đã merge main</t>
        </is>
      </c>
    </row>
    <row r="30" ht="60" customHeight="1" s="17">
      <c r="A30" s="21" t="inlineStr">
        <is>
          <t>S2-26</t>
        </is>
      </c>
      <c r="B30" s="21" t="inlineStr">
        <is>
          <t>UC-CB-09</t>
        </is>
      </c>
      <c r="C30" s="22" t="inlineStr">
        <is>
          <t>BE – Đăng ký lớp hộ hội viên (màn S23): lễ tân/Manager thực hiện đăng ký thay cho hội viên và lưu rõ nhân viên đã thực hiện thao tác.</t>
        </is>
      </c>
      <c r="D30" s="23" t="inlineStr">
        <is>
          <t>BE</t>
        </is>
      </c>
      <c r="E30" s="21" t="inlineStr">
        <is>
          <t>Nhanh</t>
        </is>
      </c>
      <c r="F30" s="21" t="inlineStr">
        <is>
          <t>Medium</t>
        </is>
      </c>
      <c r="G30" s="22" t="inlineStr">
        <is>
          <t>Áp dụng mọi kiểm tra như hội viên tự đăng ký: membership, lớp OPEN, khoảng thời gian, sức chứa và trùng lịch. Lưu enrolled_by là nhân viên thực hiện, yêu cầu permission enroll_for_member và không tạo booking trùng.</t>
        </is>
      </c>
      <c r="H30" s="21" t="inlineStr">
        <is>
          <t>sprint-2/be-nhanh</t>
        </is>
      </c>
      <c r="I30" s="21" t="inlineStr">
        <is>
          <t>06/10/2026</t>
        </is>
      </c>
      <c r="J30" s="21" t="inlineStr">
        <is>
          <t>19/10/2026</t>
        </is>
      </c>
      <c r="K30" s="21" t="inlineStr">
        <is>
          <t>Done</t>
        </is>
      </c>
      <c r="L30" s="22" t="inlineStr">
        <is>
          <t>Đã xong, đã merge main</t>
        </is>
      </c>
    </row>
    <row r="31" ht="60" customHeight="1" s="17">
      <c r="A31" s="21" t="inlineStr">
        <is>
          <t>S2-27</t>
        </is>
      </c>
      <c r="B31" s="21" t="inlineStr">
        <is>
          <t>UC-CB-09</t>
        </is>
      </c>
      <c r="C31" s="22" t="inlineStr">
        <is>
          <t>FE – Đăng ký lớp hộ hội viên (màn S23): lễ tân/Manager thực hiện đăng ký thay cho hội viên và lưu rõ nhân viên đã thực hiện thao tác.</t>
        </is>
      </c>
      <c r="D31" s="23" t="inlineStr">
        <is>
          <t>FE</t>
        </is>
      </c>
      <c r="E31" s="21" t="inlineStr">
        <is>
          <t>Khôi</t>
        </is>
      </c>
      <c r="F31" s="21" t="inlineStr">
        <is>
          <t>Medium</t>
        </is>
      </c>
      <c r="G31" s="22" t="inlineStr">
        <is>
          <t>Áp dụng mọi kiểm tra như hội viên tự đăng ký: membership, lớp OPEN, khoảng thời gian, sức chứa và trùng lịch. Lưu enrolled_by là nhân viên thực hiện, yêu cầu permission enroll_for_member và không tạo booking trùng.</t>
        </is>
      </c>
      <c r="H31" s="21" t="inlineStr">
        <is>
          <t>sprint-2/fe-khoi</t>
        </is>
      </c>
      <c r="I31" s="21" t="inlineStr">
        <is>
          <t>06/10/2026</t>
        </is>
      </c>
      <c r="J31" s="21" t="inlineStr">
        <is>
          <t>19/10/2026</t>
        </is>
      </c>
      <c r="K31" s="21" t="inlineStr">
        <is>
          <t>Done</t>
        </is>
      </c>
      <c r="L31" s="22" t="inlineStr">
        <is>
          <t>Đã xong, đã merge main</t>
        </is>
      </c>
    </row>
    <row r="32" ht="60" customHeight="1" s="17">
      <c r="A32" s="21" t="inlineStr">
        <is>
          <t>S2-28</t>
        </is>
      </c>
      <c r="B32" s="21" t="inlineStr">
        <is>
          <t>UC-CB-10</t>
        </is>
      </c>
      <c r="C32" s="22" t="inlineStr">
        <is>
          <t>BE – Huỷ đăng ký hộ hội viên (màn S23): nhân viên huỷ booking thay cho hội viên theo cùng mốc thời gian và điều kiện như hội viên tự huỷ.</t>
        </is>
      </c>
      <c r="D32" s="23" t="inlineStr">
        <is>
          <t>BE</t>
        </is>
      </c>
      <c r="E32" s="21" t="inlineStr">
        <is>
          <t>Nhanh</t>
        </is>
      </c>
      <c r="F32" s="21" t="inlineStr">
        <is>
          <t>Medium</t>
        </is>
      </c>
      <c r="G32" s="22" t="inlineStr">
        <is>
          <t>Nhân viên không có đặc quyền bỏ qua mốc huỷ; áp dụng BR-2.5/2.14 giống hội viên. Lưu cancelled_by và audit; nếu quá hạn phải từ chối hoặc chuyển quy trình Manager.</t>
        </is>
      </c>
      <c r="H32" s="21" t="inlineStr">
        <is>
          <t>sprint-2/be-nhanh</t>
        </is>
      </c>
      <c r="I32" s="21" t="inlineStr">
        <is>
          <t>06/10/2026</t>
        </is>
      </c>
      <c r="J32" s="21" t="inlineStr">
        <is>
          <t>19/10/2026</t>
        </is>
      </c>
      <c r="K32" s="21" t="inlineStr">
        <is>
          <t>Done</t>
        </is>
      </c>
      <c r="L32" s="22" t="inlineStr">
        <is>
          <t>Đã xong, đã merge main</t>
        </is>
      </c>
    </row>
    <row r="33" ht="60" customHeight="1" s="17">
      <c r="A33" s="21" t="inlineStr">
        <is>
          <t>S2-29</t>
        </is>
      </c>
      <c r="B33" s="21" t="inlineStr">
        <is>
          <t>UC-CB-10</t>
        </is>
      </c>
      <c r="C33" s="22" t="inlineStr">
        <is>
          <t>FE – Huỷ đăng ký hộ hội viên (màn S23): nhân viên huỷ booking thay cho hội viên theo cùng mốc thời gian và điều kiện như hội viên tự huỷ.</t>
        </is>
      </c>
      <c r="D33" s="23" t="inlineStr">
        <is>
          <t>FE</t>
        </is>
      </c>
      <c r="E33" s="21" t="inlineStr">
        <is>
          <t>Khôi</t>
        </is>
      </c>
      <c r="F33" s="21" t="inlineStr">
        <is>
          <t>Medium</t>
        </is>
      </c>
      <c r="G33" s="22" t="inlineStr">
        <is>
          <t>Nhân viên không có đặc quyền bỏ qua mốc huỷ; áp dụng BR-2.5/2.14 giống hội viên. Lưu cancelled_by và audit; nếu quá hạn phải từ chối hoặc chuyển quy trình Manager.</t>
        </is>
      </c>
      <c r="H33" s="21" t="inlineStr">
        <is>
          <t>sprint-2/fe-khoi</t>
        </is>
      </c>
      <c r="I33" s="21" t="inlineStr">
        <is>
          <t>06/10/2026</t>
        </is>
      </c>
      <c r="J33" s="21" t="inlineStr">
        <is>
          <t>19/10/2026</t>
        </is>
      </c>
      <c r="K33" s="21" t="inlineStr">
        <is>
          <t>Done</t>
        </is>
      </c>
      <c r="L33" s="22" t="inlineStr">
        <is>
          <t>Đã xong, đã merge main</t>
        </is>
      </c>
    </row>
    <row r="34" ht="60" customHeight="1" s="17">
      <c r="A34" s="21" t="inlineStr">
        <is>
          <t>S2-30</t>
        </is>
      </c>
      <c r="B34" s="21" t="inlineStr">
        <is>
          <t>UC-CB-16</t>
        </is>
      </c>
      <c r="C34" s="22" t="inlineStr">
        <is>
          <t>BE – Lịch tập cá nhân (màn 10): Member xem lịch các lớp/buổi đã đăng ký theo ngày hoặc tuần, kèm trạng thái booking và thông tin đổi/huỷ.</t>
        </is>
      </c>
      <c r="D34" s="23" t="inlineStr">
        <is>
          <t>BE</t>
        </is>
      </c>
      <c r="E34" s="21" t="inlineStr">
        <is>
          <t>Nhanh</t>
        </is>
      </c>
      <c r="F34" s="21" t="inlineStr">
        <is>
          <t>Simple</t>
        </is>
      </c>
      <c r="G34" s="22" t="inlineStr">
        <is>
          <t>Chỉ hiển thị lịch của chính hội viên, gồm ngày, buổi, phòng, coach và trạng thái booking. Nếu membership hết hạn giữa kỳ, booking đã có vẫn giữ đến hết lớp; chỉ chặn đăng ký mới theo BR-1.5/1.12.</t>
        </is>
      </c>
      <c r="H34" s="21" t="inlineStr">
        <is>
          <t>sprint-2/be-nhanh</t>
        </is>
      </c>
      <c r="I34" s="21" t="inlineStr">
        <is>
          <t>06/10/2026</t>
        </is>
      </c>
      <c r="J34" s="21" t="inlineStr">
        <is>
          <t>19/10/2026</t>
        </is>
      </c>
      <c r="K34" s="21" t="inlineStr">
        <is>
          <t>Done</t>
        </is>
      </c>
      <c r="L34" s="22" t="inlineStr">
        <is>
          <t>Đã xong, đã merge main</t>
        </is>
      </c>
    </row>
    <row r="35" ht="60" customHeight="1" s="17">
      <c r="A35" s="21" t="inlineStr">
        <is>
          <t>S2-31</t>
        </is>
      </c>
      <c r="B35" s="21" t="inlineStr">
        <is>
          <t>UC-CB-16</t>
        </is>
      </c>
      <c r="C35" s="22" t="inlineStr">
        <is>
          <t>FE – Lịch tập cá nhân (màn 10): Member xem lịch các lớp/buổi đã đăng ký theo ngày hoặc tuần, kèm trạng thái booking và thông tin đổi/huỷ.</t>
        </is>
      </c>
      <c r="D35" s="23" t="inlineStr">
        <is>
          <t>FE</t>
        </is>
      </c>
      <c r="E35" s="21" t="inlineStr">
        <is>
          <t>Khôi</t>
        </is>
      </c>
      <c r="F35" s="21" t="inlineStr">
        <is>
          <t>Simple</t>
        </is>
      </c>
      <c r="G35" s="22" t="inlineStr">
        <is>
          <t>Chỉ hiển thị lịch của chính hội viên, gồm ngày, buổi, phòng, coach và trạng thái booking. Nếu membership hết hạn giữa kỳ, booking đã có vẫn giữ đến hết lớp; chỉ chặn đăng ký mới theo BR-1.5/1.12.</t>
        </is>
      </c>
      <c r="H35" s="21" t="inlineStr">
        <is>
          <t>sprint-2/fe-khoi</t>
        </is>
      </c>
      <c r="I35" s="21" t="inlineStr">
        <is>
          <t>06/10/2026</t>
        </is>
      </c>
      <c r="J35" s="21" t="inlineStr">
        <is>
          <t>19/10/2026</t>
        </is>
      </c>
      <c r="K35" s="21" t="inlineStr">
        <is>
          <t>Done</t>
        </is>
      </c>
      <c r="L35" s="22" t="inlineStr">
        <is>
          <t>Đã xong, đã merge main</t>
        </is>
      </c>
    </row>
    <row r="36" ht="60" customHeight="1" s="17">
      <c r="A36" s="21" t="inlineStr">
        <is>
          <t>S2-32</t>
        </is>
      </c>
      <c r="B36" s="21" t="inlineStr">
        <is>
          <t>UC-CB-11</t>
        </is>
      </c>
      <c r="C36" s="22" t="inlineStr">
        <is>
          <t>BE – Lịch dạy (màn 11): Coach xem các lớp và buổi học được phân công, gồm thời gian, phòng và thông tin cần thiết cho việc giảng dạy.</t>
        </is>
      </c>
      <c r="D36" s="23" t="inlineStr">
        <is>
          <t>BE</t>
        </is>
      </c>
      <c r="E36" s="21" t="inlineStr">
        <is>
          <t>Nhanh</t>
        </is>
      </c>
      <c r="F36" s="21" t="inlineStr">
        <is>
          <t>Simple</t>
        </is>
      </c>
      <c r="G36" s="22" t="inlineStr">
        <is>
          <t>Coach chỉ xem các lớp được phân công, gồm thời gian, phòng và các buổi mới nhất sau khi đổi/huỷ. Không xem hoặc sửa lịch coach khác nếu không có permission quản lý.</t>
        </is>
      </c>
      <c r="H36" s="21" t="inlineStr">
        <is>
          <t>sprint-2/be-nhanh</t>
        </is>
      </c>
      <c r="I36" s="21" t="inlineStr">
        <is>
          <t>06/10/2026</t>
        </is>
      </c>
      <c r="J36" s="21" t="inlineStr">
        <is>
          <t>19/10/2026</t>
        </is>
      </c>
      <c r="K36" s="21" t="inlineStr">
        <is>
          <t>Done</t>
        </is>
      </c>
      <c r="L36" s="22" t="inlineStr">
        <is>
          <t>Đã xong, đã merge main</t>
        </is>
      </c>
    </row>
    <row r="37" ht="60" customHeight="1" s="17">
      <c r="A37" s="21" t="inlineStr">
        <is>
          <t>S2-33</t>
        </is>
      </c>
      <c r="B37" s="21" t="inlineStr">
        <is>
          <t>UC-CB-11</t>
        </is>
      </c>
      <c r="C37" s="22" t="inlineStr">
        <is>
          <t>FE – Lịch dạy (màn 11): Coach xem các lớp và buổi học được phân công, gồm thời gian, phòng và thông tin cần thiết cho việc giảng dạy.</t>
        </is>
      </c>
      <c r="D37" s="23" t="inlineStr">
        <is>
          <t>FE</t>
        </is>
      </c>
      <c r="E37" s="21" t="inlineStr">
        <is>
          <t>Khôi</t>
        </is>
      </c>
      <c r="F37" s="21" t="inlineStr">
        <is>
          <t>Simple</t>
        </is>
      </c>
      <c r="G37" s="22" t="inlineStr">
        <is>
          <t>Coach chỉ xem các lớp được phân công, gồm thời gian, phòng và các buổi mới nhất sau khi đổi/huỷ. Không xem hoặc sửa lịch coach khác nếu không có permission quản lý.</t>
        </is>
      </c>
      <c r="H37" s="21" t="inlineStr">
        <is>
          <t>sprint-2/fe-khoi</t>
        </is>
      </c>
      <c r="I37" s="21" t="inlineStr">
        <is>
          <t>06/10/2026</t>
        </is>
      </c>
      <c r="J37" s="21" t="inlineStr">
        <is>
          <t>19/10/2026</t>
        </is>
      </c>
      <c r="K37" s="21" t="inlineStr">
        <is>
          <t>Done</t>
        </is>
      </c>
      <c r="L37" s="22" t="inlineStr">
        <is>
          <t>Đã xong, đã merge main</t>
        </is>
      </c>
    </row>
    <row r="38" ht="60" customHeight="1" s="17">
      <c r="A38" s="21" t="inlineStr">
        <is>
          <t>S2-34</t>
        </is>
      </c>
      <c r="B38" s="21" t="inlineStr">
        <is>
          <t>UC-CB-12</t>
        </is>
      </c>
      <c r="C38" s="22" t="inlineStr">
        <is>
          <t>BE – Danh sách học viên của lớp (màn 11): coach phụ trách xem danh sách hội viên theo lớp/buổi, trạng thái đăng ký và thông tin tối thiểu phục vụ điểm danh.</t>
        </is>
      </c>
      <c r="D38" s="23" t="inlineStr">
        <is>
          <t>BE</t>
        </is>
      </c>
      <c r="E38" s="21" t="inlineStr">
        <is>
          <t>Nhanh</t>
        </is>
      </c>
      <c r="F38" s="21" t="inlineStr">
        <is>
          <t>Medium</t>
        </is>
      </c>
      <c r="G38" s="22" t="inlineStr">
        <is>
          <t>Chỉ coach phụ trách hoặc role có permission được xem danh sách học viên của lớp. Chỉ hiển thị thông tin tối thiểu phục vụ điểm danh và không cho truy cập lớp ngoài phạm vi.</t>
        </is>
      </c>
      <c r="H38" s="21" t="inlineStr">
        <is>
          <t>sprint-2/be-nhanh</t>
        </is>
      </c>
      <c r="I38" s="21" t="inlineStr">
        <is>
          <t>06/10/2026</t>
        </is>
      </c>
      <c r="J38" s="21" t="inlineStr">
        <is>
          <t>19/10/2026</t>
        </is>
      </c>
      <c r="K38" s="21" t="inlineStr">
        <is>
          <t>Done</t>
        </is>
      </c>
      <c r="L38" s="22" t="inlineStr">
        <is>
          <t>Đã xong, đã merge main</t>
        </is>
      </c>
    </row>
    <row r="39" ht="60" customHeight="1" s="17">
      <c r="A39" s="21" t="inlineStr">
        <is>
          <t>S2-35</t>
        </is>
      </c>
      <c r="B39" s="21" t="inlineStr">
        <is>
          <t>UC-CB-12</t>
        </is>
      </c>
      <c r="C39" s="22" t="inlineStr">
        <is>
          <t>FE – Danh sách học viên của lớp (màn 11): coach phụ trách xem danh sách hội viên theo lớp/buổi, trạng thái đăng ký và thông tin tối thiểu phục vụ điểm danh.</t>
        </is>
      </c>
      <c r="D39" s="23" t="inlineStr">
        <is>
          <t>FE</t>
        </is>
      </c>
      <c r="E39" s="21" t="inlineStr">
        <is>
          <t>Khôi</t>
        </is>
      </c>
      <c r="F39" s="21" t="inlineStr">
        <is>
          <t>Medium</t>
        </is>
      </c>
      <c r="G39" s="22" t="inlineStr">
        <is>
          <t>Chỉ coach phụ trách hoặc role có permission được xem danh sách học viên của lớp. Chỉ hiển thị thông tin tối thiểu phục vụ điểm danh và không cho truy cập lớp ngoài phạm vi.</t>
        </is>
      </c>
      <c r="H39" s="21" t="inlineStr">
        <is>
          <t>sprint-2/fe-khoi</t>
        </is>
      </c>
      <c r="I39" s="21" t="inlineStr">
        <is>
          <t>06/10/2026</t>
        </is>
      </c>
      <c r="J39" s="21" t="inlineStr">
        <is>
          <t>19/10/2026</t>
        </is>
      </c>
      <c r="K39" s="21" t="inlineStr">
        <is>
          <t>Done</t>
        </is>
      </c>
      <c r="L39" s="22" t="inlineStr">
        <is>
          <t>Đã xong, đã merge main</t>
        </is>
      </c>
    </row>
    <row r="40" ht="54.75" customHeight="1" s="17">
      <c r="A40" s="21" t="n"/>
      <c r="B40" s="21" t="n"/>
      <c r="C40" s="22" t="n"/>
      <c r="D40" s="24" t="n"/>
      <c r="E40" s="21" t="n"/>
      <c r="F40" s="21" t="n"/>
      <c r="G40" s="22" t="n"/>
      <c r="H40" s="21" t="n"/>
      <c r="I40" s="21" t="n"/>
      <c r="J40" s="21" t="n"/>
      <c r="K40" s="21" t="n"/>
      <c r="L40" s="22" t="n"/>
    </row>
    <row r="41" ht="54.75" customHeight="1" s="17">
      <c r="A41" s="21" t="n"/>
      <c r="B41" s="21" t="n"/>
      <c r="C41" s="22" t="n"/>
      <c r="D41" s="23" t="n"/>
      <c r="E41" s="21" t="n"/>
      <c r="F41" s="21" t="n"/>
      <c r="G41" s="22" t="n"/>
      <c r="H41" s="21" t="n"/>
      <c r="I41" s="21" t="n"/>
      <c r="J41" s="21" t="n"/>
      <c r="K41" s="21" t="n"/>
      <c r="L41" s="22" t="n"/>
    </row>
    <row r="42" ht="54.75" customHeight="1" s="17">
      <c r="A42" s="21" t="n"/>
      <c r="B42" s="21" t="n"/>
      <c r="C42" s="22" t="n"/>
      <c r="D42" s="24" t="n"/>
      <c r="E42" s="21" t="n"/>
      <c r="F42" s="21" t="n"/>
      <c r="G42" s="22" t="n"/>
      <c r="H42" s="21" t="n"/>
      <c r="I42" s="21" t="n"/>
      <c r="J42" s="21" t="n"/>
      <c r="K42" s="21" t="n"/>
      <c r="L42" s="22" t="n"/>
    </row>
    <row r="43" ht="54.75" customHeight="1" s="17">
      <c r="A43" s="21" t="n"/>
      <c r="B43" s="21" t="n"/>
      <c r="C43" s="22" t="n"/>
      <c r="D43" s="23" t="n"/>
      <c r="E43" s="21" t="n"/>
      <c r="F43" s="21" t="n"/>
      <c r="G43" s="22" t="n"/>
      <c r="H43" s="21" t="n"/>
      <c r="I43" s="21" t="n"/>
      <c r="J43" s="21" t="n"/>
      <c r="K43" s="21" t="n"/>
      <c r="L43" s="22" t="n"/>
    </row>
    <row r="44" ht="54.75" customHeight="1" s="17">
      <c r="A44" s="21" t="n"/>
      <c r="B44" s="21" t="n"/>
      <c r="C44" s="22" t="n"/>
      <c r="D44" s="24" t="n"/>
      <c r="E44" s="21" t="n"/>
      <c r="F44" s="21" t="n"/>
      <c r="G44" s="22" t="n"/>
      <c r="H44" s="21" t="n"/>
      <c r="I44" s="21" t="n"/>
      <c r="J44" s="21" t="n"/>
      <c r="K44" s="21" t="n"/>
      <c r="L44" s="22" t="n"/>
    </row>
    <row r="45" ht="54.75" customHeight="1" s="17">
      <c r="A45" s="21" t="n"/>
      <c r="B45" s="21" t="n"/>
      <c r="C45" s="22" t="n"/>
      <c r="D45" s="23" t="n"/>
      <c r="E45" s="21" t="n"/>
      <c r="F45" s="21" t="n"/>
      <c r="G45" s="22" t="n"/>
      <c r="H45" s="21" t="n"/>
      <c r="I45" s="21" t="n"/>
      <c r="J45" s="21" t="n"/>
      <c r="K45" s="21" t="n"/>
      <c r="L45" s="22" t="n"/>
    </row>
    <row r="46" ht="54.75" customHeight="1" s="17">
      <c r="A46" s="21" t="n"/>
      <c r="B46" s="21" t="n"/>
      <c r="C46" s="22" t="n"/>
      <c r="D46" s="24" t="n"/>
      <c r="E46" s="21" t="n"/>
      <c r="F46" s="21" t="n"/>
      <c r="G46" s="22" t="n"/>
      <c r="H46" s="21" t="n"/>
      <c r="I46" s="21" t="n"/>
      <c r="J46" s="21" t="n"/>
      <c r="K46" s="21" t="n"/>
      <c r="L46" s="22" t="n"/>
    </row>
    <row r="47" ht="54.75" customHeight="1" s="17">
      <c r="A47" s="21" t="n"/>
      <c r="B47" s="21" t="n"/>
      <c r="C47" s="22" t="n"/>
      <c r="D47" s="23" t="n"/>
      <c r="E47" s="21" t="n"/>
      <c r="F47" s="21" t="n"/>
      <c r="G47" s="22" t="n"/>
      <c r="H47" s="21" t="n"/>
      <c r="I47" s="21" t="n"/>
      <c r="J47" s="21" t="n"/>
      <c r="K47" s="21" t="n"/>
      <c r="L47" s="22" t="n"/>
    </row>
    <row r="48" ht="54.75" customHeight="1" s="17">
      <c r="A48" s="21" t="n"/>
      <c r="B48" s="21" t="n"/>
      <c r="C48" s="22" t="n"/>
      <c r="D48" s="24" t="n"/>
      <c r="E48" s="21" t="n"/>
      <c r="F48" s="21" t="n"/>
      <c r="G48" s="22" t="n"/>
      <c r="H48" s="21" t="n"/>
      <c r="I48" s="21" t="n"/>
      <c r="J48" s="21" t="n"/>
      <c r="K48" s="21" t="n"/>
      <c r="L48" s="22" t="n"/>
    </row>
    <row r="49" ht="54.75" customHeight="1" s="17">
      <c r="A49" s="21" t="n"/>
      <c r="B49" s="21" t="n"/>
      <c r="C49" s="22" t="n"/>
      <c r="D49" s="23" t="n"/>
      <c r="E49" s="21" t="n"/>
      <c r="F49" s="21" t="n"/>
      <c r="G49" s="22" t="n"/>
      <c r="H49" s="21" t="n"/>
      <c r="I49" s="21" t="n"/>
      <c r="J49" s="21" t="n"/>
      <c r="K49" s="21" t="n"/>
      <c r="L49" s="22" t="n"/>
    </row>
    <row r="50" ht="54.75" customHeight="1" s="17">
      <c r="A50" s="21" t="n"/>
      <c r="B50" s="21" t="n"/>
      <c r="C50" s="22" t="n"/>
      <c r="D50" s="24" t="n"/>
      <c r="E50" s="21" t="n"/>
      <c r="F50" s="21" t="n"/>
      <c r="G50" s="22" t="n"/>
      <c r="H50" s="21" t="n"/>
      <c r="I50" s="21" t="n"/>
      <c r="J50" s="21" t="n"/>
      <c r="K50" s="21" t="n"/>
      <c r="L50" s="22" t="n"/>
    </row>
    <row r="51" ht="54.75" customHeight="1" s="17">
      <c r="A51" s="21" t="n"/>
      <c r="B51" s="21" t="n"/>
      <c r="C51" s="22" t="n"/>
      <c r="D51" s="23" t="n"/>
      <c r="E51" s="21" t="n"/>
      <c r="F51" s="21" t="n"/>
      <c r="G51" s="22" t="n"/>
      <c r="H51" s="21" t="n"/>
      <c r="I51" s="21" t="n"/>
      <c r="J51" s="21" t="n"/>
      <c r="K51" s="21" t="n"/>
      <c r="L51" s="22" t="n"/>
    </row>
    <row r="52" ht="54.75" customHeight="1" s="17">
      <c r="A52" s="21" t="n"/>
      <c r="B52" s="21" t="n"/>
      <c r="C52" s="22" t="n"/>
      <c r="D52" s="24" t="n"/>
      <c r="E52" s="21" t="n"/>
      <c r="F52" s="21" t="n"/>
      <c r="G52" s="22" t="n"/>
      <c r="H52" s="21" t="n"/>
      <c r="I52" s="21" t="n"/>
      <c r="J52" s="21" t="n"/>
      <c r="K52" s="21" t="n"/>
      <c r="L52" s="22" t="n"/>
    </row>
    <row r="53" ht="54.75" customHeight="1" s="17">
      <c r="A53" s="21" t="n"/>
      <c r="B53" s="21" t="n"/>
      <c r="C53" s="22" t="n"/>
      <c r="D53" s="23" t="n"/>
      <c r="E53" s="21" t="n"/>
      <c r="F53" s="21" t="n"/>
      <c r="G53" s="22" t="n"/>
      <c r="H53" s="21" t="n"/>
      <c r="I53" s="21" t="n"/>
      <c r="J53" s="21" t="n"/>
      <c r="K53" s="21" t="n"/>
      <c r="L53" s="22" t="n"/>
    </row>
    <row r="54" ht="54.75" customHeight="1" s="17">
      <c r="A54" s="21" t="n"/>
      <c r="B54" s="21" t="n"/>
      <c r="C54" s="22" t="n"/>
      <c r="D54" s="24" t="n"/>
      <c r="E54" s="21" t="n"/>
      <c r="F54" s="21" t="n"/>
      <c r="G54" s="22" t="n"/>
      <c r="H54" s="21" t="n"/>
      <c r="I54" s="21" t="n"/>
      <c r="J54" s="21" t="n"/>
      <c r="K54" s="21" t="n"/>
      <c r="L54" s="22" t="n"/>
    </row>
    <row r="55" ht="54.75" customHeight="1" s="17">
      <c r="A55" s="21" t="n"/>
      <c r="B55" s="21" t="n"/>
      <c r="C55" s="22" t="n"/>
      <c r="D55" s="23" t="n"/>
      <c r="E55" s="21" t="n"/>
      <c r="F55" s="21" t="n"/>
      <c r="G55" s="22" t="n"/>
      <c r="H55" s="21" t="n"/>
      <c r="I55" s="21" t="n"/>
      <c r="J55" s="21" t="n"/>
      <c r="K55" s="21" t="n"/>
      <c r="L55" s="22" t="n"/>
    </row>
    <row r="56" ht="54.75" customHeight="1" s="17">
      <c r="A56" s="21" t="n"/>
      <c r="B56" s="21" t="n"/>
      <c r="C56" s="22" t="n"/>
      <c r="D56" s="24" t="n"/>
      <c r="E56" s="21" t="n"/>
      <c r="F56" s="21" t="n"/>
      <c r="G56" s="22" t="n"/>
      <c r="H56" s="21" t="n"/>
      <c r="I56" s="21" t="n"/>
      <c r="J56" s="21" t="n"/>
      <c r="K56" s="21" t="n"/>
      <c r="L56" s="22" t="n"/>
    </row>
    <row r="57" ht="54.75" customHeight="1" s="17">
      <c r="A57" s="21" t="n"/>
      <c r="B57" s="21" t="n"/>
      <c r="C57" s="22" t="n"/>
      <c r="D57" s="23" t="n"/>
      <c r="E57" s="21" t="n"/>
      <c r="F57" s="21" t="n"/>
      <c r="G57" s="22" t="n"/>
      <c r="H57" s="21" t="n"/>
      <c r="I57" s="21" t="n"/>
      <c r="J57" s="21" t="n"/>
      <c r="K57" s="21" t="n"/>
      <c r="L57" s="22" t="n"/>
    </row>
    <row r="58" ht="54.75" customHeight="1" s="17">
      <c r="A58" s="21" t="n"/>
      <c r="B58" s="21" t="n"/>
      <c r="C58" s="22" t="n"/>
      <c r="D58" s="24" t="n"/>
      <c r="E58" s="21" t="n"/>
      <c r="F58" s="21" t="n"/>
      <c r="G58" s="22" t="n"/>
      <c r="H58" s="21" t="n"/>
      <c r="I58" s="21" t="n"/>
      <c r="J58" s="21" t="n"/>
      <c r="K58" s="21" t="n"/>
      <c r="L58" s="22" t="n"/>
    </row>
    <row r="59" ht="54.75" customHeight="1" s="17">
      <c r="A59" s="21" t="n"/>
      <c r="B59" s="21" t="n"/>
      <c r="C59" s="22" t="n"/>
      <c r="D59" s="23" t="n"/>
      <c r="E59" s="21" t="n"/>
      <c r="F59" s="21" t="n"/>
      <c r="G59" s="22" t="n"/>
      <c r="H59" s="21" t="n"/>
      <c r="I59" s="21" t="n"/>
      <c r="J59" s="21" t="n"/>
      <c r="K59" s="21" t="n"/>
      <c r="L59" s="22" t="n"/>
    </row>
    <row r="60" ht="54.75" customHeight="1" s="17">
      <c r="A60" s="21" t="n"/>
      <c r="B60" s="21" t="n"/>
      <c r="C60" s="22" t="n"/>
      <c r="D60" s="24" t="n"/>
      <c r="E60" s="21" t="n"/>
      <c r="F60" s="21" t="n"/>
      <c r="G60" s="22" t="n"/>
      <c r="H60" s="21" t="n"/>
      <c r="I60" s="21" t="n"/>
      <c r="J60" s="21" t="n"/>
      <c r="K60" s="21" t="n"/>
      <c r="L60" s="22" t="n"/>
    </row>
  </sheetData>
  <autoFilter ref="A4:L60"/>
  <mergeCells count="2">
    <mergeCell ref="A2:L2"/>
    <mergeCell ref="A1:L1"/>
  </mergeCells>
  <conditionalFormatting sqref="K5:K60">
    <cfRule type="cellIs" rank="0" priority="2" equalAverage="0" operator="equal" aboveAverage="0" dxfId="7" text="" percent="0" bottom="0">
      <formula>"Done"</formula>
    </cfRule>
    <cfRule type="cellIs" rank="0" priority="3" equalAverage="0" operator="equal" aboveAverage="0" dxfId="8" text="" percent="0" bottom="0">
      <formula>"Review"</formula>
    </cfRule>
    <cfRule type="cellIs" rank="0" priority="4" equalAverage="0" operator="equal" aboveAverage="0" dxfId="9" text="" percent="0" bottom="0">
      <formula>"In Progress"</formula>
    </cfRule>
    <cfRule type="cellIs" rank="0" priority="5" equalAverage="0" operator="equal" aboveAverage="0" dxfId="10" text="" percent="0" bottom="0">
      <formula>"To Do"</formula>
    </cfRule>
  </conditionalFormatting>
  <dataValidations count="1">
    <dataValidation sqref="K5:K60" showDropDown="0" showInputMessage="0" showErrorMessage="0" allowBlank="0" type="list" errorStyle="stop" operator="between">
      <formula1>"To Do,In Progress,Review,Done"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171875" defaultRowHeight="13.5" customHeight="0" zeroHeight="0" outlineLevelRow="0"/>
  <cols>
    <col width="14" customWidth="1" style="16" min="1" max="8"/>
  </cols>
  <sheetData>
    <row r="1" ht="16.5" customHeight="1" s="17">
      <c r="A1" s="25" t="inlineStr">
        <is>
          <t>Tiến độ Sprint 2 theo thành viên</t>
        </is>
      </c>
    </row>
    <row r="3" ht="13.5" customHeight="1" s="17">
      <c r="A3" s="26" t="inlineStr">
        <is>
          <t>Thành viên</t>
        </is>
      </c>
      <c r="B3" s="26" t="inlineStr">
        <is>
          <t>Vai</t>
        </is>
      </c>
      <c r="C3" s="26" t="inlineStr">
        <is>
          <t>Tổng task</t>
        </is>
      </c>
      <c r="D3" s="26" t="inlineStr">
        <is>
          <t>To Do</t>
        </is>
      </c>
      <c r="E3" s="26" t="inlineStr">
        <is>
          <t>In Progress</t>
        </is>
      </c>
      <c r="F3" s="26" t="inlineStr">
        <is>
          <t>Review</t>
        </is>
      </c>
      <c r="G3" s="26" t="inlineStr">
        <is>
          <t>Done</t>
        </is>
      </c>
      <c r="H3" s="26" t="inlineStr">
        <is>
          <t>% Done</t>
        </is>
      </c>
    </row>
    <row r="4" ht="13.5" customHeight="1" s="17">
      <c r="A4" s="27" t="inlineStr">
        <is>
          <t>Nhanh</t>
        </is>
      </c>
      <c r="B4" s="27" t="inlineStr">
        <is>
          <t>BE · Leader</t>
        </is>
      </c>
      <c r="C4" s="27">
        <f>COUNTIF('Task Sprint 2'!$E$5:$E$60,A4)</f>
        <v/>
      </c>
      <c r="D4" s="27">
        <f>COUNTIFS('Task Sprint 2'!$E$5:$E$60,$A4,'Task Sprint 2'!$K$5:$K$60,"To Do")</f>
        <v/>
      </c>
      <c r="E4" s="27">
        <f>COUNTIFS('Task Sprint 2'!$E$5:$E$60,$A4,'Task Sprint 2'!$K$5:$K$60,"In Progress")</f>
        <v/>
      </c>
      <c r="F4" s="27">
        <f>COUNTIFS('Task Sprint 2'!$E$5:$E$60,$A4,'Task Sprint 2'!$K$5:$K$60,"Review")</f>
        <v/>
      </c>
      <c r="G4" s="27">
        <f>COUNTIFS('Task Sprint 2'!$E$5:$E$60,$A4,'Task Sprint 2'!$K$5:$K$60,"Done")</f>
        <v/>
      </c>
      <c r="H4" s="28">
        <f>IF(C4=0,0,G4/C4)</f>
        <v/>
      </c>
    </row>
    <row r="5" ht="13.5" customHeight="1" s="17">
      <c r="A5" s="27" t="inlineStr">
        <is>
          <t>Bảo</t>
        </is>
      </c>
      <c r="B5" s="27" t="inlineStr">
        <is>
          <t>BE</t>
        </is>
      </c>
      <c r="C5" s="27">
        <f>COUNTIF('Task Sprint 2'!$E$5:$E$60,A5)</f>
        <v/>
      </c>
      <c r="D5" s="27">
        <f>COUNTIFS('Task Sprint 2'!$E$5:$E$60,$A5,'Task Sprint 2'!$K$5:$K$60,"To Do")</f>
        <v/>
      </c>
      <c r="E5" s="27">
        <f>COUNTIFS('Task Sprint 2'!$E$5:$E$60,$A5,'Task Sprint 2'!$K$5:$K$60,"In Progress")</f>
        <v/>
      </c>
      <c r="F5" s="27">
        <f>COUNTIFS('Task Sprint 2'!$E$5:$E$60,$A5,'Task Sprint 2'!$K$5:$K$60,"Review")</f>
        <v/>
      </c>
      <c r="G5" s="27">
        <f>COUNTIFS('Task Sprint 2'!$E$5:$E$60,$A5,'Task Sprint 2'!$K$5:$K$60,"Done")</f>
        <v/>
      </c>
      <c r="H5" s="28">
        <f>IF(C5=0,0,G5/C5)</f>
        <v/>
      </c>
    </row>
    <row r="6" ht="13.5" customHeight="1" s="17">
      <c r="A6" s="27" t="inlineStr">
        <is>
          <t>Khôi</t>
        </is>
      </c>
      <c r="B6" s="27" t="inlineStr">
        <is>
          <t>FE</t>
        </is>
      </c>
      <c r="C6" s="27">
        <f>COUNTIF('Task Sprint 2'!$E$5:$E$60,A6)</f>
        <v/>
      </c>
      <c r="D6" s="27">
        <f>COUNTIFS('Task Sprint 2'!$E$5:$E$60,$A6,'Task Sprint 2'!$K$5:$K$60,"To Do")</f>
        <v/>
      </c>
      <c r="E6" s="27">
        <f>COUNTIFS('Task Sprint 2'!$E$5:$E$60,$A6,'Task Sprint 2'!$K$5:$K$60,"In Progress")</f>
        <v/>
      </c>
      <c r="F6" s="27">
        <f>COUNTIFS('Task Sprint 2'!$E$5:$E$60,$A6,'Task Sprint 2'!$K$5:$K$60,"Review")</f>
        <v/>
      </c>
      <c r="G6" s="27">
        <f>COUNTIFS('Task Sprint 2'!$E$5:$E$60,$A6,'Task Sprint 2'!$K$5:$K$60,"Done")</f>
        <v/>
      </c>
      <c r="H6" s="28">
        <f>IF(C6=0,0,G6/C6)</f>
        <v/>
      </c>
    </row>
    <row r="7" ht="13.5" customHeight="1" s="17">
      <c r="A7" s="27" t="inlineStr">
        <is>
          <t>Khải</t>
        </is>
      </c>
      <c r="B7" s="27" t="inlineStr">
        <is>
          <t>FE</t>
        </is>
      </c>
      <c r="C7" s="27">
        <f>COUNTIF('Task Sprint 2'!$E$5:$E$60,A7)</f>
        <v/>
      </c>
      <c r="D7" s="27">
        <f>COUNTIFS('Task Sprint 2'!$E$5:$E$60,$A7,'Task Sprint 2'!$K$5:$K$60,"To Do")</f>
        <v/>
      </c>
      <c r="E7" s="27">
        <f>COUNTIFS('Task Sprint 2'!$E$5:$E$60,$A7,'Task Sprint 2'!$K$5:$K$60,"In Progress")</f>
        <v/>
      </c>
      <c r="F7" s="27">
        <f>COUNTIFS('Task Sprint 2'!$E$5:$E$60,$A7,'Task Sprint 2'!$K$5:$K$60,"Review")</f>
        <v/>
      </c>
      <c r="G7" s="27">
        <f>COUNTIFS('Task Sprint 2'!$E$5:$E$60,$A7,'Task Sprint 2'!$K$5:$K$60,"Done")</f>
        <v/>
      </c>
      <c r="H7" s="28">
        <f>IF(C7=0,0,G7/C7)</f>
        <v/>
      </c>
    </row>
    <row r="8" ht="13.5" customHeight="1" s="17">
      <c r="A8" s="29" t="inlineStr">
        <is>
          <t>Tổng</t>
        </is>
      </c>
      <c r="C8" s="16">
        <f>SUM(C4:C7)</f>
        <v/>
      </c>
      <c r="D8" s="16">
        <f>SUM(D4:D7)</f>
        <v/>
      </c>
      <c r="E8" s="16">
        <f>SUM(E4:E7)</f>
        <v/>
      </c>
      <c r="F8" s="16">
        <f>SUM(F4:F7)</f>
        <v/>
      </c>
      <c r="G8" s="16">
        <f>SUM(G4:G7)</f>
        <v/>
      </c>
      <c r="H8" s="30">
        <f>IF(C8=0,0,G8/C8)</f>
        <v/>
      </c>
    </row>
    <row r="10" ht="13.5" customHeight="1" s="17">
      <c r="A10" s="29" t="inlineStr">
        <is>
          <t>Demo main flow Sprint 2 (Review 2):</t>
        </is>
      </c>
    </row>
    <row r="11" ht="13.5" customHeight="1" s="17">
      <c r="A11" s="16" t="inlineStr">
        <is>
          <t>1. Manager tạo bộ môn, phòng tập → tạo lớp (buổi sinh tự động từ lịch tuần)</t>
        </is>
      </c>
    </row>
    <row r="12" ht="13.5" customHeight="1" s="17">
      <c r="A12" s="16" t="inlineStr">
        <is>
          <t>2. Hội viên xem lớp đang mở → đăng ký lớp (không trùng giờ, không quá sức chứa)</t>
        </is>
      </c>
    </row>
    <row r="13" ht="13.5" customHeight="1" s="17">
      <c r="A13" s="16" t="inlineStr">
        <is>
          <t>3. Hội viên huỷ đăng ký (trước buổi kế tiếp ≥ 12 giờ) → xem lịch tập cá nhân</t>
        </is>
      </c>
    </row>
    <row r="14" ht="13.5" customHeight="1" s="17">
      <c r="A14" s="16" t="inlineStr">
        <is>
          <t>4. Lễ tân đăng ký / huỷ lớp hộ hội viên</t>
        </is>
      </c>
    </row>
    <row r="15" ht="13.5" customHeight="1" s="17">
      <c r="A15" s="16" t="inlineStr">
        <is>
          <t>5. Manager sửa lịch / huỷ lớp → hội viên đã đăng ký nhận thông báo</t>
        </is>
      </c>
    </row>
    <row r="16" ht="13.5" customHeight="1" s="17">
      <c r="A16" s="16" t="inlineStr">
        <is>
          <t>6. Coach xem lịch dạy và danh sách học viên của lớp</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171875" defaultRowHeight="15" customHeight="0" zeroHeight="0" outlineLevelRow="0"/>
  <cols>
    <col width="9" customWidth="1" style="16" min="1" max="1"/>
    <col width="7" customWidth="1" style="16" min="2" max="2"/>
    <col width="70" customWidth="1" style="16" min="3" max="3"/>
    <col width="18" customWidth="1" style="16" min="4" max="4"/>
    <col width="12" customWidth="1" style="16" min="5" max="5"/>
    <col width="50" customWidth="1" style="16" min="6" max="6"/>
  </cols>
  <sheetData>
    <row r="1" ht="17.35" customHeight="1" s="17">
      <c r="A1" s="18" t="inlineStr">
        <is>
          <t>VIỆC THÊM THEO GÓP Ý GIẢNG VIÊN – KHÔNG THUỘC SPRINT PLAN, KHÔNG TÍNH VÀO TỔNG HỢP</t>
        </is>
      </c>
    </row>
    <row r="2" ht="15" customHeight="1" s="17">
      <c r="A2" s="19" t="inlineStr">
        <is>
          <t>Gửi mail xác minh bằng SMTP miễn phí (nodemailer): Mailtrap Sandbox khi dev, Brevo/Gmail SMTP khi demo. Người làm là đề xuất, nhóm chốt lại.</t>
        </is>
      </c>
    </row>
    <row r="4" ht="15" customHeight="1" s="17">
      <c r="A4" s="20" t="inlineStr">
        <is>
          <t>Task ID</t>
        </is>
      </c>
      <c r="B4" s="20" t="inlineStr">
        <is>
          <t>Loại</t>
        </is>
      </c>
      <c r="C4" s="20" t="inlineStr">
        <is>
          <t>Việc</t>
        </is>
      </c>
      <c r="D4" s="20" t="inlineStr">
        <is>
          <t>Người làm (đề xuất)</t>
        </is>
      </c>
      <c r="E4" s="20" t="inlineStr">
        <is>
          <t>Trạng thái</t>
        </is>
      </c>
      <c r="F4" s="20" t="inlineStr">
        <is>
          <t>Ghi chú</t>
        </is>
      </c>
    </row>
    <row r="5" ht="15" customHeight="1" s="17">
      <c r="A5" s="21" t="inlineStr">
        <is>
          <t>X-01</t>
        </is>
      </c>
      <c r="B5" s="21" t="inlineStr">
        <is>
          <t>BE</t>
        </is>
      </c>
      <c r="C5" s="21" t="inlineStr">
        <is>
          <t>Mailer dùng chung (nodemailer, đọc MAIL_* từ .env)</t>
        </is>
      </c>
      <c r="D5" s="21" t="inlineStr">
        <is>
          <t>Nhanh</t>
        </is>
      </c>
      <c r="E5" s="21" t="inlineStr">
        <is>
          <t>Review</t>
        </is>
      </c>
      <c r="F5" s="21" t="inlineStr">
        <is>
          <t>Đã làm: gửi mail qua MAIL_* trong .env (dùng chung cho đặt lại mật khẩu, xác minh, đổi email). Xem Task Sprint 3 S3-01</t>
        </is>
      </c>
    </row>
    <row r="6" ht="15" customHeight="1" s="17">
      <c r="A6" s="21" t="inlineStr">
        <is>
          <t>X-02</t>
        </is>
      </c>
      <c r="B6" s="21" t="inlineStr">
        <is>
          <t>BE</t>
        </is>
      </c>
      <c r="C6" s="21" t="inlineStr">
        <is>
          <t>Gửi link xác minh sau đăng ký (token băm, dùng 1 lần, hạn đọc từ system_settings)</t>
        </is>
      </c>
      <c r="D6" s="21" t="inlineStr">
        <is>
          <t>Nhanh</t>
        </is>
      </c>
      <c r="E6" s="21" t="inlineStr">
        <is>
          <t>Review</t>
        </is>
      </c>
      <c r="F6" s="21" t="inlineStr">
        <is>
          <t>Đã làm. Xem Task Sprint 3 S3-28</t>
        </is>
      </c>
    </row>
    <row r="7" ht="15" customHeight="1" s="17">
      <c r="A7" s="21" t="inlineStr">
        <is>
          <t>X-03</t>
        </is>
      </c>
      <c r="B7" s="21" t="inlineStr">
        <is>
          <t>BE</t>
        </is>
      </c>
      <c r="C7" s="21" t="inlineStr">
        <is>
          <t>API verify-email, resend-verification (giới hạn tần suất)</t>
        </is>
      </c>
      <c r="D7" s="21" t="inlineStr">
        <is>
          <t>Nhanh</t>
        </is>
      </c>
      <c r="E7" s="21" t="inlineStr">
        <is>
          <t>Review</t>
        </is>
      </c>
      <c r="F7" s="21" t="inlineStr">
        <is>
          <t>Đã làm (có giới hạn tần suất). Xem Task Sprint 3 S3-28</t>
        </is>
      </c>
    </row>
    <row r="8" ht="15" customHeight="1" s="17">
      <c r="A8" s="21" t="inlineStr">
        <is>
          <t>X-04</t>
        </is>
      </c>
      <c r="B8" s="21" t="inlineStr">
        <is>
          <t>BE</t>
        </is>
      </c>
      <c r="C8" s="21" t="inlineStr">
        <is>
          <t>Cột email_verified_at + chặn đăng ký lớp/mua gói khi chưa xác minh</t>
        </is>
      </c>
      <c r="D8" s="21" t="inlineStr">
        <is>
          <t>Nhanh</t>
        </is>
      </c>
      <c r="E8" s="21" t="inlineStr">
        <is>
          <t>Review</t>
        </is>
      </c>
      <c r="F8" s="21" t="inlineStr">
        <is>
          <t>Đã chốt: chặn đăng nhập khi chưa xác minh (403 EMAIL_NOT_VERIFIED). Xem Task Sprint 3 S3-28</t>
        </is>
      </c>
    </row>
    <row r="9" ht="15" customHeight="1" s="17">
      <c r="A9" s="21" t="inlineStr">
        <is>
          <t>X-05</t>
        </is>
      </c>
      <c r="B9" s="21" t="inlineStr">
        <is>
          <t>FE</t>
        </is>
      </c>
      <c r="C9" s="21" t="inlineStr">
        <is>
          <t>Trang /verify-email, banner chưa xác minh, nút gửi lại</t>
        </is>
      </c>
      <c r="D9" s="21" t="inlineStr">
        <is>
          <t>Khôi</t>
        </is>
      </c>
      <c r="E9" s="21" t="inlineStr">
        <is>
          <t>Review</t>
        </is>
      </c>
      <c r="F9" s="21" t="inlineStr">
        <is>
          <t>Đã làm. Xem Task Sprint 3 S3-29</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2026-09-29T03:10:53Z</dcterms:created>
  <dcterms:modified xmlns:dcterms="http://purl.org/dc/terms/" xmlns:xsi="http://www.w3.org/2001/XMLSchema-instance" xsi:type="dcterms:W3CDTF">2026-10-14T13:32:09Z</dcterms:modified>
  <cp:lastModifiedBy>86 LĐN</cp:lastModifiedBy>
  <cp:revision>0</cp:revision>
</cp:coreProperties>
</file>