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fb7f63340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 giao" sheetId="1" r:id="R9992e726a60a41e6"/>
    <x:sheet xmlns:r="http://schemas.openxmlformats.org/officeDocument/2006/relationships" name="TC-KHOI" sheetId="2" r:id="Rdd99cc211744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i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A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71284afad4950" /><Relationship Type="http://schemas.openxmlformats.org/officeDocument/2006/relationships/theme" Target="/xl/theme/theme1.xml" Id="R5a024675d15f4027" /><Relationship Type="http://schemas.openxmlformats.org/officeDocument/2006/relationships/sharedStrings" Target="/xl/sharedStrings.xml" Id="Raf894a8170cc463a" /><Relationship Type="http://schemas.openxmlformats.org/officeDocument/2006/relationships/worksheet" Target="/xl/worksheets/sheet1.xml" Id="R9992e726a60a41e6" /><Relationship Type="http://schemas.openxmlformats.org/officeDocument/2006/relationships/worksheet" Target="/xl/worksheets/sheet2.xml" Id="Rdd99cc2117444c7b" /></Relationships>
</file>

<file path=xl/tables/table1.xml><?xml version="1.0" encoding="utf-8"?>
<x:table xmlns:x="http://schemas.openxmlformats.org/spreadsheetml/2006/main" id="1" name="KhoiFeedbackCases" displayName="KhoiFeedbackCases" ref="A4:K39" headerRowCount="1" totalsRowCount="0" totalsRowShown="0">
  <x:tableColumns count="11">
    <x:tableColumn id="1" name="ID"/>
    <x:tableColumn id="2" name="Task"/>
    <x:tableColumn id="3" name="Loại kiểm thử"/>
    <x:tableColumn id="4" name="Mục tiêu"/>
    <x:tableColumn id="5" name="Tiền điều kiện hoặc phụ thuộc"/>
    <x:tableColumn id="6" name="Bước thực hiện"/>
    <x:tableColumn id="7" name="Dữ liệu"/>
    <x:tableColumn id="8" name="Kết quả mong đợi"/>
    <x:tableColumn id="9" name="Tự động hoặc vị trí"/>
    <x:tableColumn id="10" name="Bằng chứng hoặc nguyên nhân"/>
    <x:tableColumn id="11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8cde0e28ea40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7" hidden="0" customWidth="1"/>
    <x:col min="3" max="3" width="59" hidden="0" customWidth="1"/>
    <x:col min="4" max="4" width="64" hidden="0" customWidth="1"/>
  </x:cols>
  <x:sheetData>
    <x:row r="1" ht="30" customHeight="1">
      <x:c r="A1" s="25" t="str">
        <x:v>BÀN GIAO FE KHÔI GÓP Ý GIẢNG VIÊN</x:v>
      </x:c>
      <x:c r="B1" s="26"/>
      <x:c r="C1" s="26"/>
      <x:c r="D1" s="26"/>
    </x:row>
    <x:row r="2">
      <x:c r="A2" s="27" t="str">
        <x:v>Ngày 21/10/2026 — code local; chưa push hoặc merge main.</x:v>
      </x:c>
      <x:c r="B2" s="26"/>
      <x:c r="C2" s="26"/>
      <x:c r="D2" s="26"/>
    </x:row>
    <x:row r="3">
      <x:c r="A3" s="21"/>
      <x:c r="B3" s="21"/>
      <x:c r="C3" s="21"/>
      <x:c r="D3" s="21"/>
    </x:row>
    <x:row r="4" ht="28" customHeight="1">
      <x:c r="A4" s="23" t="str">
        <x:v>Task</x:v>
      </x:c>
      <x:c r="B4" s="23" t="str">
        <x:v>Hạn</x:v>
      </x:c>
      <x:c r="C4" s="23" t="str">
        <x:v>Trạng thái bàn giao</x:v>
      </x:c>
      <x:c r="D4" s="23" t="str">
        <x:v>Còn chờ</x:v>
      </x:c>
    </x:row>
    <x:row r="5" ht="44" customHeight="1">
      <x:c r="A5" s="21" t="str">
        <x:v>GY-31</x:v>
      </x:c>
      <x:c r="B5" s="24" t="d">
        <x:v>2026-10-24T00:00:00.000Z</x:v>
      </x:c>
      <x:c r="C5" s="21" t="str">
        <x:v>FE báo nghỉ + tag đã kiểm tra</x:v>
      </x:c>
      <x:c r="D5" s="21" t="str">
        <x:v>BE excuse + deadline từng buổi; HLV EXCUSED</x:v>
      </x:c>
    </x:row>
    <x:row r="6" ht="44" customHeight="1">
      <x:c r="A6" s="21" t="str">
        <x:v>GY-34</x:v>
      </x:c>
      <x:c r="B6" s="24" t="d">
        <x:v>2026-10-28T00:00:00.000Z</x:v>
      </x:c>
      <x:c r="C6" s="21" t="str">
        <x:v>Hủy/đổi/số dư đã kiểm tra bằng API mô phỏng</x:v>
      </x:c>
      <x:c r="D6" s="21" t="str">
        <x:v>GY-00 khe, BE mua/hủy/credit/đổi; tích hợp QR/tiền mặt</x:v>
      </x:c>
    </x:row>
    <x:row r="7" ht="44" customHeight="1">
      <x:c r="A7" s="21" t="str">
        <x:v>GY-41</x:v>
      </x:c>
      <x:c r="B7" s="24" t="d">
        <x:v>2026-10-30T00:00:00.000Z</x:v>
      </x:c>
      <x:c r="C7" s="21" t="str">
        <x:v>FE ngân sách + ngày + mở sớm đã kiểm tra</x:v>
      </x:c>
      <x:c r="D7" s="21" t="str">
        <x:v>GY-40, trạng thái thật, minDays cấu hình live</x:v>
      </x:c>
    </x:row>
    <x:row r="8" ht="44" customHeight="1">
      <x:c r="A8" s="21" t="str">
        <x:v>GY-36</x:v>
      </x:c>
      <x:c r="B8" s="24" t="d">
        <x:v>2026-10-30T00:00:00.000Z</x:v>
      </x:c>
      <x:c r="C8" s="21" t="str">
        <x:v>15 UI contract Pass; E2E thật Blocked</x:v>
      </x:c>
      <x:c r="D8" s="21" t="str">
        <x:v>Chưa có GY-00/BE; chưa chạy webhook/DB thật</x:v>
      </x:c>
    </x:row>
    <x:row r="9" ht="44" customHeight="1">
      <x:c r="A9" s="21" t="str">
        <x:v>GY-53</x:v>
      </x:c>
      <x:c r="B9" s="24" t="d">
        <x:v>2026-11-01T00:00:00.000Z</x:v>
      </x:c>
      <x:c r="C9" s="21" t="str">
        <x:v>35 ca của Khôi trong TC-KHOI</x:v>
      </x:c>
      <x:c r="D9" s="21" t="str">
        <x:v>Cùng Khải tích hợp vào workbook chung sau review</x:v>
      </x:c>
    </x:row>
    <x:row r="10">
      <x:c r="A10" s="21"/>
      <x:c r="B10" s="21"/>
      <x:c r="C10" s="21"/>
      <x:c r="D10" s="21"/>
    </x:row>
    <x:row r="11">
      <x:c r="A11" s="21"/>
      <x:c r="B11" s="21"/>
      <x:c r="C11" s="21"/>
      <x:c r="D11" s="21"/>
    </x:row>
    <x:row r="12" ht="28" customHeight="1">
      <x:c r="A12" s="23" t="str">
        <x:v>Kết quả trong workbook</x:v>
      </x:c>
      <x:c r="B12" s="23" t="str">
        <x:v>Số ca</x:v>
      </x:c>
      <x:c r="C12" s="21"/>
      <x:c r="D12" s="21"/>
    </x:row>
    <x:row r="13">
      <x:c r="A13" s="21" t="str">
        <x:v>Pass</x:v>
      </x:c>
      <x:c r="B13" s="21" t="n">
        <x:f>COUNTIF('TC-KHOI'!K5:K39,"Pass")</x:f>
        <x:v>28</x:v>
      </x:c>
      <x:c r="C13" s="21"/>
      <x:c r="D13" s="21"/>
    </x:row>
    <x:row r="14">
      <x:c r="A14" s="21" t="str">
        <x:v>Blocked</x:v>
      </x:c>
      <x:c r="B14" s="21" t="n">
        <x:f>COUNTIF('TC-KHOI'!K5:K39,"Blocked")</x:f>
        <x:v>7</x:v>
      </x:c>
      <x:c r="C14" s="21"/>
      <x:c r="D14" s="21"/>
    </x:row>
    <x:row r="15">
      <x:c r="A15" s="21" t="str">
        <x:v>Tổng</x:v>
      </x:c>
      <x:c r="B15" s="21" t="n">
        <x:f>COUNTA('TC-KHOI'!A5:A39)</x:f>
        <x:v>35</x:v>
      </x:c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 ht="28" customHeight="1">
      <x:c r="A18" s="23" t="str">
        <x:v>Điểm tích hợp</x:v>
      </x:c>
      <x:c r="B18" s="23" t="str">
        <x:v>Chủ phần việc</x:v>
      </x:c>
      <x:c r="C18" s="23" t="str">
        <x:v>Cách kết nối</x:v>
      </x:c>
      <x:c r="D18" s="23" t="str">
        <x:v>Giới hạn hiện tại</x:v>
      </x:c>
    </x:row>
    <x:row r="19" ht="50" customHeight="1">
      <x:c r="A19" s="21" t="str">
        <x:v>Khe GY-00</x:v>
      </x:c>
      <x:c r="B19" s="21" t="str">
        <x:v>Nhanh / chủ host</x:v>
      </x:c>
      <x:c r="C19" s="21" t="str">
        <x:v>MembershipActions, EnrollmentActions, ApplyCreditButton; CreditPanel ở hồ sơ/chi tiết</x:v>
      </x:c>
      <x:c r="D19" s="21" t="str">
        <x:v>Các host chưa tồn tại; không sửa file của Khải</x:v>
      </x:c>
    </x:row>
    <x:row r="20" ht="50" customHeight="1">
      <x:c r="A20" s="21" t="str">
        <x:v>Báo nghỉ</x:v>
      </x:c>
      <x:c r="B20" s="21" t="str">
        <x:v>Bảo / chủ DTO lịch</x:v>
      </x:c>
      <x:c r="C20" s="21" t="str">
        <x:v>Truyền session.excuseDeadline ISO UTC; canExcuse/excuseReason nếu có</x:v>
      </x:c>
      <x:c r="D20" s="21" t="str">
        <x:v>Chưa có nguồn deadline từng buổi trong hợp đồng đọc</x:v>
      </x:c>
    </x:row>
    <x:row r="21" ht="50" customHeight="1">
      <x:c r="A21" s="21" t="str">
        <x:v>Điểm danh</x:v>
      </x:c>
      <x:c r="B21" s="21" t="str">
        <x:v>Bảo / chủ AttendanceTable</x:v>
      </x:c>
      <x:c r="C21" s="21" t="str">
        <x:v>EXCUSED trả từ API; bảng hiện Xin nghỉ và lựa chọn sẵn</x:v>
      </x:c>
      <x:c r="D21" s="21" t="str">
        <x:v>Không sửa AttendanceTable ngoài cột Khôi</x:v>
      </x:c>
    </x:row>
    <x:row r="22" ht="50" customHeight="1">
      <x:c r="A22" s="21" t="str">
        <x:v>Bảo lưu</x:v>
      </x:c>
      <x:c r="B22" s="21" t="str">
        <x:v>Bảo / caller</x:v>
      </x:c>
      <x:c r="C22" s="21" t="str">
        <x:v>freezeDaysUsed/Left từ GET kỳ; policy.minDays live hoặc freezeMinDays từ DTO</x:v>
      </x:c>
      <x:c r="D22" s="21" t="str">
        <x:v>Chưa có minDays live trong GET theo hợp đồng hiện tại</x:v>
      </x:c>
    </x:row>
    <x:row r="23" ht="50" customHeight="1">
      <x:c r="A23" s="21" t="str">
        <x:v>E2E + demo</x:v>
      </x:c>
      <x:c r="B23" s="21" t="str">
        <x:v>Cả nhóm sau BE</x:v>
      </x:c>
      <x:c r="C23" s="21" t="str">
        <x:v>Chạy dữ liệu demo trên DB test riêng và API thật</x:v>
      </x:c>
      <x:c r="D23" s="21" t="str">
        <x:v>Không chạy db:demo xóa dữ liệu local hiện có</x:v>
      </x:c>
    </x:row>
    <x:row r="24">
      <x:c r="A24" s="21"/>
      <x:c r="B24" s="21"/>
      <x:c r="C24" s="21"/>
      <x:c r="D24" s="21"/>
    </x:row>
    <x:row r="25">
      <x:c r="A25" s="21"/>
      <x:c r="B25" s="21"/>
      <x:c r="C25" s="21"/>
      <x:c r="D25" s="21"/>
    </x:row>
    <x:row r="26">
      <x:c r="A26" s="21" t="str">
        <x:v>Căn cứ và cách hiểu</x:v>
      </x:c>
      <x:c r="B26" s="21"/>
      <x:c r="C26" s="21"/>
      <x:c r="D26" s="21"/>
    </x:row>
    <x:row r="27" ht="44" customHeight="1">
      <x:c r="A27" s="21" t="str">
        <x:v>Handover</x:v>
      </x:c>
      <x:c r="B27" s="21" t="str">
        <x:v>docs/handover/gopy-khoi.md</x:v>
      </x:c>
      <x:c r="C27" s="21" t="str">
        <x:v>GY-31/34/41/36/53</x:v>
      </x:c>
      <x:c r="D27" s="21" t="str">
        <x:v>File người dùng gửi cùng nội dung</x:v>
      </x:c>
    </x:row>
    <x:row r="28" ht="44" customHeight="1">
      <x:c r="A28" s="21" t="str">
        <x:v>Hợp đồng</x:v>
      </x:c>
      <x:c r="B28" s="21" t="str">
        <x:v>docs/huong-dan/HopDong_GopY_GD2-4.md</x:v>
      </x:c>
      <x:c r="C28" s="21" t="str">
        <x:v>API và quyền hiện hành</x:v>
      </x:c>
      <x:c r="D28" s="21" t="str">
        <x:v>Không tự sửa schema, quyền hoặc hợp đồng</x:v>
      </x:c>
    </x:row>
    <x:row r="29" ht="44" customHeight="1">
      <x:c r="A29" s="21" t="str">
        <x:v>Thiết kế</x:v>
      </x:c>
      <x:c r="B29" s="21" t="str">
        <x:v>docs/yeu-cau/ThietKe_SuaTheoGopY_GiangVien.md</x:v>
      </x:c>
      <x:c r="C29" s="21" t="str">
        <x:v>Q1–Q4 ưu tiên hơn Word đề xuất v1</x:v>
      </x:c>
      <x:c r="D29" s="21" t="str">
        <x:v>Giữ mua cả khóa và có số dư tài khoản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27" hidden="0" customWidth="1"/>
    <x:col min="4" max="4" width="43" hidden="0" customWidth="1"/>
    <x:col min="5" max="5" width="45" hidden="0" customWidth="1"/>
    <x:col min="6" max="6" width="45" hidden="0" customWidth="1"/>
    <x:col min="7" max="7" width="41" hidden="0" customWidth="1"/>
    <x:col min="8" max="8" width="48" hidden="0" customWidth="1"/>
    <x:col min="9" max="9" width="48" hidden="0" customWidth="1"/>
    <x:col min="10" max="10" width="48" hidden="0" customWidth="1"/>
    <x:col min="11" max="11" width="14" hidden="0" customWidth="1"/>
  </x:cols>
  <x:sheetData>
    <x:row r="1" ht="30" customHeight="1">
      <x:c r="A1" s="11" t="str">
        <x:v>TEST CASE GÓP Ý GIẢNG VIÊN PHẦN KHÔI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21/10/2026 — Pass ở unit/UI mô phỏng không đồng nghĩa API/DB thật đã nghiệm thu.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2" customHeight="1">
      <x:c r="A4" s="8" t="str">
        <x:v>ID</x:v>
      </x:c>
      <x:c r="B4" s="8" t="str">
        <x:v>Task</x:v>
      </x:c>
      <x:c r="C4" s="8" t="str">
        <x:v>Loại kiểm thử</x:v>
      </x:c>
      <x:c r="D4" s="8" t="str">
        <x:v>Mục tiêu</x:v>
      </x:c>
      <x:c r="E4" s="8" t="str">
        <x:v>Tiền điều kiện hoặc phụ thuộc</x:v>
      </x:c>
      <x:c r="F4" s="8" t="str">
        <x:v>Bước thực hiện</x:v>
      </x:c>
      <x:c r="G4" s="8" t="str">
        <x:v>Dữ liệu</x:v>
      </x:c>
      <x:c r="H4" s="8" t="str">
        <x:v>Kết quả mong đợi</x:v>
      </x:c>
      <x:c r="I4" s="8" t="str">
        <x:v>Tự động hoặc vị trí</x:v>
      </x:c>
      <x:c r="J4" s="8" t="str">
        <x:v>Bằng chứng hoặc nguyên nhân</x:v>
      </x:c>
      <x:c r="K4" s="8" t="str">
        <x:v>Trạng thái</x:v>
      </x:c>
    </x:row>
    <x:row r="5" ht="15" hidden="0" customHeight="1">
      <x:c r="A5" s="4" t="str">
        <x:v>TC-UI-GY31-01</x:v>
      </x:c>
      <x:c r="B5" s="4" t="str">
        <x:v>GY-31</x:v>
      </x:c>
      <x:c r="C5" s="4" t="str">
        <x:v>Unit / hợp đồng</x:v>
      </x:c>
      <x:c r="D5" s="4" t="str">
        <x:v>Báo nghỉ chính mình</x:v>
      </x:c>
      <x:c r="E5" s="4" t="str">
        <x:v>Vi.fn http hoặc permission predicate</x:v>
      </x:c>
      <x:c r="F5" s="4" t="str">
        <x:v>Gọi excuseSession(7)</x:v>
      </x:c>
      <x:c r="G5" s="4" t="str">
        <x:v>sessionId=7</x:v>
      </x:c>
      <x:c r="H5" s="4" t="str">
        <x:v>POST /classes/sessions/7/excuse với {}</x:v>
      </x:c>
      <x:c r="I5" s="4" t="str">
        <x:v>core/fe/src/services/*.test.js; CancelPurchasePolicy.test.js</x:v>
      </x:c>
      <x:c r="J5" s="4" t="str">
        <x:v>13/13 unit mới; 117/117 FE toàn bộ</x:v>
      </x:c>
      <x:c r="K5" s="4" t="str">
        <x:v>Pass</x:v>
      </x:c>
    </x:row>
    <x:row r="6" ht="15" hidden="0" customHeight="1">
      <x:c r="A6" s="5" t="str">
        <x:v>TC-UI-GY31-02</x:v>
      </x:c>
      <x:c r="B6" s="5" t="str">
        <x:v>GY-31</x:v>
      </x:c>
      <x:c r="C6" s="5" t="str">
        <x:v>Unit / hợp đồng</x:v>
      </x:c>
      <x:c r="D6" s="5" t="str">
        <x:v>Báo nghỉ hộ</x:v>
      </x:c>
      <x:c r="E6" s="5" t="str">
        <x:v>Vi.fn http hoặc permission predicate</x:v>
      </x:c>
      <x:c r="F6" s="5" t="str">
        <x:v>Gọi excuseSession(7,15)</x:v>
      </x:c>
      <x:c r="G6" s="5" t="str">
        <x:v>memberId=15</x:v>
      </x:c>
      <x:c r="H6" s="5" t="str">
        <x:v>Body đúng memberId, không hủy khóa</x:v>
      </x:c>
      <x:c r="I6" s="5" t="str">
        <x:v>core/fe/src/services/*.test.js; CancelPurchasePolicy.test.js</x:v>
      </x:c>
      <x:c r="J6" s="5" t="str">
        <x:v>13/13 unit mới; 117/117 FE toàn bộ</x:v>
      </x:c>
      <x:c r="K6" s="5" t="str">
        <x:v>Pass</x:v>
      </x:c>
    </x:row>
    <x:row r="7" ht="15" hidden="0" customHeight="1">
      <x:c r="A7" s="4" t="str">
        <x:v>TC-UI-GY34-01-PLAN</x:v>
      </x:c>
      <x:c r="B7" s="4" t="str">
        <x:v>GY-34</x:v>
      </x:c>
      <x:c r="C7" s="4" t="str">
        <x:v>Unit / hợp đồng</x:v>
      </x:c>
      <x:c r="D7" s="4" t="str">
        <x:v>Preview và hủy gói</x:v>
      </x:c>
      <x:c r="E7" s="4" t="str">
        <x:v>Vi.fn http hoặc permission predicate</x:v>
      </x:c>
      <x:c r="F7" s="4" t="str">
        <x:v>Gọi previewCancellation và cancelPurchase</x:v>
      </x:c>
      <x:c r="G7" s="4" t="str">
        <x:v>settlement=CREDIT, reason</x:v>
      </x:c>
      <x:c r="H7" s="4" t="str">
        <x:v>Đúng tài nguyên memberships, giữ nguyên số tiền BE</x:v>
      </x:c>
      <x:c r="I7" s="4" t="str">
        <x:v>core/fe/src/services/*.test.js; CancelPurchasePolicy.test.js</x:v>
      </x:c>
      <x:c r="J7" s="4" t="str">
        <x:v>13/13 unit mới; 117/117 FE toàn bộ</x:v>
      </x:c>
      <x:c r="K7" s="4" t="str">
        <x:v>Pass</x:v>
      </x:c>
    </x:row>
    <x:row r="8" ht="15" hidden="0" customHeight="1">
      <x:c r="A8" s="5" t="str">
        <x:v>TC-UI-GY34-01-COURSE</x:v>
      </x:c>
      <x:c r="B8" s="5" t="str">
        <x:v>GY-34</x:v>
      </x:c>
      <x:c r="C8" s="5" t="str">
        <x:v>Unit / hợp đồng</x:v>
      </x:c>
      <x:c r="D8" s="5" t="str">
        <x:v>Preview và hủy khóa</x:v>
      </x:c>
      <x:c r="E8" s="5" t="str">
        <x:v>Vi.fn http hoặc permission predicate</x:v>
      </x:c>
      <x:c r="F8" s="5" t="str">
        <x:v>Gọi cùng service cho enrollment</x:v>
      </x:c>
      <x:c r="G8" s="5" t="str">
        <x:v>id=8</x:v>
      </x:c>
      <x:c r="H8" s="5" t="str">
        <x:v>Đúng tài nguyên enrollments</x:v>
      </x:c>
      <x:c r="I8" s="5" t="str">
        <x:v>core/fe/src/services/*.test.js; CancelPurchasePolicy.test.js</x:v>
      </x:c>
      <x:c r="J8" s="5" t="str">
        <x:v>13/13 unit mới; 117/117 FE toàn bộ</x:v>
      </x:c>
      <x:c r="K8" s="5" t="str">
        <x:v>Pass</x:v>
      </x:c>
    </x:row>
    <x:row r="9" ht="15" hidden="0" customHeight="1">
      <x:c r="A9" s="4" t="str">
        <x:v>TC-UI-GY34-02-PLAN</x:v>
      </x:c>
      <x:c r="B9" s="4" t="str">
        <x:v>GY-34</x:v>
      </x:c>
      <x:c r="C9" s="4" t="str">
        <x:v>Unit / hợp đồng</x:v>
      </x:c>
      <x:c r="D9" s="4" t="str">
        <x:v>Đổi gói</x:v>
      </x:c>
      <x:c r="E9" s="4" t="str">
        <x:v>Vi.fn http hoặc permission predicate</x:v>
      </x:c>
      <x:c r="F9" s="4" t="str">
        <x:v>Gọi previewChange và changePurchase</x:v>
      </x:c>
      <x:c r="G9" s="4" t="str">
        <x:v>planId=9</x:v>
      </x:c>
      <x:c r="H9" s="4" t="str">
        <x:v>Đúng query/body planId; không gửi số tiền tự tính</x:v>
      </x:c>
      <x:c r="I9" s="4" t="str">
        <x:v>core/fe/src/services/*.test.js; CancelPurchasePolicy.test.js</x:v>
      </x:c>
      <x:c r="J9" s="4" t="str">
        <x:v>13/13 unit mới; 117/117 FE toàn bộ</x:v>
      </x:c>
      <x:c r="K9" s="4" t="str">
        <x:v>Pass</x:v>
      </x:c>
    </x:row>
    <x:row r="10" ht="15" hidden="0" customHeight="1">
      <x:c r="A10" s="5" t="str">
        <x:v>TC-UI-GY34-02-COURSE</x:v>
      </x:c>
      <x:c r="B10" s="5" t="str">
        <x:v>GY-34</x:v>
      </x:c>
      <x:c r="C10" s="5" t="str">
        <x:v>Unit / hợp đồng</x:v>
      </x:c>
      <x:c r="D10" s="5" t="str">
        <x:v>Đổi lớp</x:v>
      </x:c>
      <x:c r="E10" s="5" t="str">
        <x:v>Vi.fn http hoặc permission predicate</x:v>
      </x:c>
      <x:c r="F10" s="5" t="str">
        <x:v>Gọi previewChange và changePurchase</x:v>
      </x:c>
      <x:c r="G10" s="5" t="str">
        <x:v>classId=9</x:v>
      </x:c>
      <x:c r="H10" s="5" t="str">
        <x:v>Đúng query/body classId</x:v>
      </x:c>
      <x:c r="I10" s="5" t="str">
        <x:v>core/fe/src/services/*.test.js; CancelPurchasePolicy.test.js</x:v>
      </x:c>
      <x:c r="J10" s="5" t="str">
        <x:v>13/13 unit mới; 117/117 FE toàn bộ</x:v>
      </x:c>
      <x:c r="K10" s="5" t="str">
        <x:v>Pass</x:v>
      </x:c>
    </x:row>
    <x:row r="11" ht="15" hidden="0" customHeight="1">
      <x:c r="A11" s="4" t="str">
        <x:v>TC-UI-GY34-03</x:v>
      </x:c>
      <x:c r="B11" s="4" t="str">
        <x:v>GY-34</x:v>
      </x:c>
      <x:c r="C11" s="4" t="str">
        <x:v>Unit / hợp đồng</x:v>
      </x:c>
      <x:c r="D11" s="4" t="str">
        <x:v>Loại giao dịch không hợp lệ</x:v>
      </x:c>
      <x:c r="E11" s="4" t="str">
        <x:v>Vi.fn http hoặc permission predicate</x:v>
      </x:c>
      <x:c r="F11" s="4" t="str">
        <x:v>Gọi preview loại unknown</x:v>
      </x:c>
      <x:c r="G11" s="4" t="str">
        <x:v>unknown</x:v>
      </x:c>
      <x:c r="H11" s="4" t="str">
        <x:v>Từ chối trước request</x:v>
      </x:c>
      <x:c r="I11" s="4" t="str">
        <x:v>core/fe/src/services/*.test.js; CancelPurchasePolicy.test.js</x:v>
      </x:c>
      <x:c r="J11" s="4" t="str">
        <x:v>13/13 unit mới; 117/117 FE toàn bộ</x:v>
      </x:c>
      <x:c r="K11" s="4" t="str">
        <x:v>Pass</x:v>
      </x:c>
    </x:row>
    <x:row r="12" ht="15" hidden="0" customHeight="1">
      <x:c r="A12" s="5" t="str">
        <x:v>TC-UI-GY41-01</x:v>
      </x:c>
      <x:c r="B12" s="5" t="str">
        <x:v>GY-41</x:v>
      </x:c>
      <x:c r="C12" s="5" t="str">
        <x:v>Unit / hợp đồng</x:v>
      </x:c>
      <x:c r="D12" s="5" t="str">
        <x:v>Chi tiết kỳ gói</x:v>
      </x:c>
      <x:c r="E12" s="5" t="str">
        <x:v>Vi.fn http hoặc permission predicate</x:v>
      </x:c>
      <x:c r="F12" s="5" t="str">
        <x:v>Gọi getPurchaseMembership(8)</x:v>
      </x:c>
      <x:c r="G12" s="5" t="str">
        <x:v>id=8</x:v>
      </x:c>
      <x:c r="H12" s="5" t="str">
        <x:v>GET /memberships/8</x:v>
      </x:c>
      <x:c r="I12" s="5" t="str">
        <x:v>core/fe/src/services/*.test.js; CancelPurchasePolicy.test.js</x:v>
      </x:c>
      <x:c r="J12" s="5" t="str">
        <x:v>13/13 unit mới; 117/117 FE toàn bộ</x:v>
      </x:c>
      <x:c r="K12" s="5" t="str">
        <x:v>Pass</x:v>
      </x:c>
    </x:row>
    <x:row r="13" ht="15" hidden="0" customHeight="1">
      <x:c r="A13" s="4" t="str">
        <x:v>TC-UI-GY34-04</x:v>
      </x:c>
      <x:c r="B13" s="4" t="str">
        <x:v>GY-34</x:v>
      </x:c>
      <x:c r="C13" s="4" t="str">
        <x:v>Unit / hợp đồng</x:v>
      </x:c>
      <x:c r="D13" s="4" t="str">
        <x:v>Sổ số dư chính chủ và hội viên</x:v>
      </x:c>
      <x:c r="E13" s="4" t="str">
        <x:v>Vi.fn http hoặc permission predicate</x:v>
      </x:c>
      <x:c r="F13" s="4" t="str">
        <x:v>Gọi hai service phân trang</x:v>
      </x:c>
      <x:c r="G13" s="4" t="str">
        <x:v>page=2,pageSize=10</x:v>
      </x:c>
      <x:c r="H13" s="4" t="str">
        <x:v>Đúng /me/credit và /members/8/credit</x:v>
      </x:c>
      <x:c r="I13" s="4" t="str">
        <x:v>core/fe/src/services/*.test.js; CancelPurchasePolicy.test.js</x:v>
      </x:c>
      <x:c r="J13" s="4" t="str">
        <x:v>13/13 unit mới; 117/117 FE toàn bộ</x:v>
      </x:c>
      <x:c r="K13" s="4" t="str">
        <x:v>Pass</x:v>
      </x:c>
    </x:row>
    <x:row r="14" ht="15" hidden="0" customHeight="1">
      <x:c r="A14" s="5" t="str">
        <x:v>TC-UI-GY34-05</x:v>
      </x:c>
      <x:c r="B14" s="5" t="str">
        <x:v>GY-34</x:v>
      </x:c>
      <x:c r="C14" s="5" t="str">
        <x:v>Unit / hợp đồng</x:v>
      </x:c>
      <x:c r="D14" s="5" t="str">
        <x:v>Dùng số dư</x:v>
      </x:c>
      <x:c r="E14" s="5" t="str">
        <x:v>Vi.fn http hoặc permission predicate</x:v>
      </x:c>
      <x:c r="F14" s="5" t="str">
        <x:v>Gọi applyCredit(9)</x:v>
      </x:c>
      <x:c r="G14" s="5" t="str">
        <x:v>invoiceId=9</x:v>
      </x:c>
      <x:c r="H14" s="5" t="str">
        <x:v>POST /invoices/9/apply-credit với {}, BE chọn số tối đa</x:v>
      </x:c>
      <x:c r="I14" s="5" t="str">
        <x:v>core/fe/src/services/*.test.js; CancelPurchasePolicy.test.js</x:v>
      </x:c>
      <x:c r="J14" s="5" t="str">
        <x:v>13/13 unit mới; 117/117 FE toàn bộ</x:v>
      </x:c>
      <x:c r="K14" s="5" t="str">
        <x:v>Pass</x:v>
      </x:c>
    </x:row>
    <x:row r="15" ht="15" hidden="0" customHeight="1">
      <x:c r="A15" s="4" t="str">
        <x:v>TC-UI-GY34-P01</x:v>
      </x:c>
      <x:c r="B15" s="4" t="str">
        <x:v>GY-34</x:v>
      </x:c>
      <x:c r="C15" s="4" t="str">
        <x:v>Unit / hợp đồng</x:v>
      </x:c>
      <x:c r="D15" s="4" t="str">
        <x:v>Kiểu dữ liệu preview</x:v>
      </x:c>
      <x:c r="E15" s="4" t="str">
        <x:v>Vi.fn http hoặc permission predicate</x:v>
      </x:c>
      <x:c r="F15" s="4" t="str">
        <x:v>Kiểm tra thiếu/null/NaN và dữ liệu đúng</x:v>
      </x:c>
      <x:c r="G15" s="4" t="str">
        <x:v>1.200.000/800.000/80.000/720.000</x:v>
      </x:c>
      <x:c r="H15" s="4" t="str">
        <x:v>Không xác nhận preview thiếu/sai kiểu; cho dữ liệu hợp lệ</x:v>
      </x:c>
      <x:c r="I15" s="4" t="str">
        <x:v>core/fe/src/services/*.test.js; CancelPurchasePolicy.test.js</x:v>
      </x:c>
      <x:c r="J15" s="4" t="str">
        <x:v>13/13 unit mới; 117/117 FE toàn bộ</x:v>
      </x:c>
      <x:c r="K15" s="4" t="str">
        <x:v>Pass</x:v>
      </x:c>
    </x:row>
    <x:row r="16" ht="15" hidden="0" customHeight="1">
      <x:c r="A16" s="5" t="str">
        <x:v>TC-UI-GY34-P02</x:v>
      </x:c>
      <x:c r="B16" s="5" t="str">
        <x:v>GY-34</x:v>
      </x:c>
      <x:c r="C16" s="5" t="str">
        <x:v>Unit / hợp đồng</x:v>
      </x:c>
      <x:c r="D16" s="5" t="str">
        <x:v>Phân biệt quyền chính chủ</x:v>
      </x:c>
      <x:c r="E16" s="5" t="str">
        <x:v>Vi.fn http hoặc permission predicate</x:v>
      </x:c>
      <x:c r="F16" s="5" t="str">
        <x:v>Kiểm tra ownerId giống/khác userId</x:v>
      </x:c>
      <x:c r="G16" s="5" t="str">
        <x:v>membership.purchase</x:v>
      </x:c>
      <x:c r="H16" s="5" t="str">
        <x:v>Không áp dụng quyền tự làm cho người khác</x:v>
      </x:c>
      <x:c r="I16" s="5" t="str">
        <x:v>core/fe/src/services/*.test.js; CancelPurchasePolicy.test.js</x:v>
      </x:c>
      <x:c r="J16" s="5" t="str">
        <x:v>13/13 unit mới; 117/117 FE toàn bộ</x:v>
      </x:c>
      <x:c r="K16" s="5" t="str">
        <x:v>Pass</x:v>
      </x:c>
    </x:row>
    <x:row r="17" ht="15" hidden="0" customHeight="1">
      <x:c r="A17" s="4" t="str">
        <x:v>TC-UI-GY34-P03</x:v>
      </x:c>
      <x:c r="B17" s="4" t="str">
        <x:v>GY-34</x:v>
      </x:c>
      <x:c r="C17" s="4" t="str">
        <x:v>Unit / hợp đồng</x:v>
      </x:c>
      <x:c r="D17" s="4" t="str">
        <x:v>Quyền hủy khóa hộ</x:v>
      </x:c>
      <x:c r="E17" s="4" t="str">
        <x:v>Vi.fn http hoặc permission predicate</x:v>
      </x:c>
      <x:c r="F17" s="4" t="str">
        <x:v>Kiểm tra class.cancel_self khi owner khác</x:v>
      </x:c>
      <x:c r="G17" s="4" t="str">
        <x:v>ownerId=2,userId=1</x:v>
      </x:c>
      <x:c r="H17" s="4" t="str">
        <x:v>Không cấp thao tác hộ bằng quyền tự hủy</x:v>
      </x:c>
      <x:c r="I17" s="4" t="str">
        <x:v>core/fe/src/services/*.test.js; CancelPurchasePolicy.test.js</x:v>
      </x:c>
      <x:c r="J17" s="4" t="str">
        <x:v>13/13 unit mới; 117/117 FE toàn bộ</x:v>
      </x:c>
      <x:c r="K17" s="4" t="str">
        <x:v>Pass</x:v>
      </x:c>
    </x:row>
    <x:row r="18" ht="24" hidden="0" customHeight="1">
      <x:c r="A18" s="5" t="str">
        <x:v>TC-UI-GY31-03</x:v>
      </x:c>
      <x:c r="B18" s="5" t="str">
        <x:v>GY-31</x:v>
      </x:c>
      <x:c r="C18" s="5" t="str">
        <x:v>UI desktop / API mô phỏng</x:v>
      </x:c>
      <x:c r="D18" s="5" t="str">
        <x:v>báo nghỉ giữ khóa và nhận tag Xin nghỉ</x:v>
      </x:c>
      <x:c r="E18" s="5" t="str">
        <x:v>Fixture test độc lập; desktop 1440×1000; quyền và dữ liệu theo từng ca</x:v>
      </x:c>
      <x:c r="F18" s="5" t="str">
        <x:v>Chạy ca trùng ID trong gopy-gy36-contract.spec.mjs</x:v>
      </x:c>
      <x:c r="G18" s="5" t="str">
        <x:v>Dữ liệu fixture hợp đồng; không dùng DB demo thật</x:v>
      </x:c>
      <x:c r="H18" s="5" t="str">
        <x:v>Assert trong ca đạt; thao tác gửi đúng API; không có pageerror ở các luồng chính</x:v>
      </x:c>
      <x:c r="I18" s="5" t="str">
        <x:v>tests/e2e/gopy-gy36-contract.spec.mjs</x:v>
      </x:c>
      <x:c r="J18" s="5" t="str">
        <x:v>ket-qua-kiem-thu.json; anh-kiem-thu/</x:v>
      </x:c>
      <x:c r="K18" s="5" t="str">
        <x:v>Pass</x:v>
      </x:c>
    </x:row>
    <x:row r="19" ht="24" hidden="0" customHeight="1">
      <x:c r="A19" s="4" t="str">
        <x:v>TC-UI-GY31-04</x:v>
      </x:c>
      <x:c r="B19" s="4" t="str">
        <x:v>GY-31</x:v>
      </x:c>
      <x:c r="C19" s="4" t="str">
        <x:v>UI desktop / API mô phỏng</x:v>
      </x:c>
      <x:c r="D19" s="4" t="str">
        <x:v>quá hạn và thiếu deadline không cho báo nghỉ</x:v>
      </x:c>
      <x:c r="E19" s="4" t="str">
        <x:v>Fixture test độc lập; desktop 1440×1000; quyền và dữ liệu theo từng ca</x:v>
      </x:c>
      <x:c r="F19" s="4" t="str">
        <x:v>Chạy ca trùng ID trong gopy-gy36-contract.spec.mjs</x:v>
      </x:c>
      <x:c r="G19" s="4" t="str">
        <x:v>Dữ liệu fixture hợp đồng; không dùng DB demo thật</x:v>
      </x:c>
      <x:c r="H19" s="4" t="str">
        <x:v>Assert trong ca đạt; thao tác gửi đúng API; không có pageerror ở các luồng chính</x:v>
      </x:c>
      <x:c r="I19" s="4" t="str">
        <x:v>tests/e2e/gopy-gy36-contract.spec.mjs</x:v>
      </x:c>
      <x:c r="J19" s="4" t="str">
        <x:v>ket-qua-kiem-thu.json; anh-kiem-thu/</x:v>
      </x:c>
      <x:c r="K19" s="4" t="str">
        <x:v>Pass</x:v>
      </x:c>
    </x:row>
    <x:row r="20" ht="24" hidden="0" customHeight="1">
      <x:c r="A20" s="5" t="str">
        <x:v>TC-UI-GY34-06</x:v>
      </x:c>
      <x:c r="B20" s="5" t="str">
        <x:v>GY-34</x:v>
      </x:c>
      <x:c r="C20" s="5" t="str">
        <x:v>UI desktop / API mô phỏng</x:v>
      </x:c>
      <x:c r="D20" s="5" t="str">
        <x:v>hủy khóa nhận số dư và dùng thanh toán hóa đơn</x:v>
      </x:c>
      <x:c r="E20" s="5" t="str">
        <x:v>Fixture test độc lập; desktop 1440×1000; quyền và dữ liệu theo từng ca</x:v>
      </x:c>
      <x:c r="F20" s="5" t="str">
        <x:v>Chạy ca trùng ID trong gopy-gy36-contract.spec.mjs</x:v>
      </x:c>
      <x:c r="G20" s="5" t="str">
        <x:v>Dữ liệu fixture hợp đồng; không dùng DB demo thật</x:v>
      </x:c>
      <x:c r="H20" s="5" t="str">
        <x:v>Assert trong ca đạt; thao tác gửi đúng API; không có pageerror ở các luồng chính</x:v>
      </x:c>
      <x:c r="I20" s="5" t="str">
        <x:v>tests/e2e/gopy-gy36-contract.spec.mjs</x:v>
      </x:c>
      <x:c r="J20" s="5" t="str">
        <x:v>ket-qua-kiem-thu.json; anh-kiem-thu/</x:v>
      </x:c>
      <x:c r="K20" s="5" t="str">
        <x:v>Pass</x:v>
      </x:c>
    </x:row>
    <x:row r="21" ht="24" hidden="0" customHeight="1">
      <x:c r="A21" s="4" t="str">
        <x:v>TC-UI-GY34-07</x:v>
      </x:c>
      <x:c r="B21" s="4" t="str">
        <x:v>GY-34</x:v>
      </x:c>
      <x:c r="C21" s="4" t="str">
        <x:v>UI desktop / API mô phỏng</x:v>
      </x:c>
      <x:c r="D21" s="4" t="str">
        <x:v>đổi lớp lọc lớp hết chỗ, mở hóa đơn thu thêm</x:v>
      </x:c>
      <x:c r="E21" s="4" t="str">
        <x:v>Fixture test độc lập; desktop 1440×1000; quyền và dữ liệu theo từng ca</x:v>
      </x:c>
      <x:c r="F21" s="4" t="str">
        <x:v>Chạy ca trùng ID trong gopy-gy36-contract.spec.mjs</x:v>
      </x:c>
      <x:c r="G21" s="4" t="str">
        <x:v>Dữ liệu fixture hợp đồng; không dùng DB demo thật</x:v>
      </x:c>
      <x:c r="H21" s="4" t="str">
        <x:v>Assert trong ca đạt; thao tác gửi đúng API; không có pageerror ở các luồng chính</x:v>
      </x:c>
      <x:c r="I21" s="4" t="str">
        <x:v>tests/e2e/gopy-gy36-contract.spec.mjs</x:v>
      </x:c>
      <x:c r="J21" s="4" t="str">
        <x:v>ket-qua-kiem-thu.json; anh-kiem-thu/</x:v>
      </x:c>
      <x:c r="K21" s="4" t="str">
        <x:v>Pass</x:v>
      </x:c>
    </x:row>
    <x:row r="22" ht="24" hidden="0" customHeight="1">
      <x:c r="A22" s="5" t="str">
        <x:v>TC-UI-GY34-08</x:v>
      </x:c>
      <x:c r="B22" s="5" t="str">
        <x:v>GY-34</x:v>
      </x:c>
      <x:c r="C22" s="5" t="str">
        <x:v>UI desktop / API mô phỏng</x:v>
      </x:c>
      <x:c r="D22" s="5" t="str">
        <x:v>preview lỗi không xác nhận hủy</x:v>
      </x:c>
      <x:c r="E22" s="5" t="str">
        <x:v>Fixture test độc lập; desktop 1440×1000; quyền và dữ liệu theo từng ca</x:v>
      </x:c>
      <x:c r="F22" s="5" t="str">
        <x:v>Chạy ca trùng ID trong gopy-gy36-contract.spec.mjs</x:v>
      </x:c>
      <x:c r="G22" s="5" t="str">
        <x:v>Dữ liệu fixture hợp đồng; không dùng DB demo thật</x:v>
      </x:c>
      <x:c r="H22" s="5" t="str">
        <x:v>Assert trong ca đạt; thao tác gửi đúng API; không có pageerror ở các luồng chính</x:v>
      </x:c>
      <x:c r="I22" s="5" t="str">
        <x:v>tests/e2e/gopy-gy36-contract.spec.mjs</x:v>
      </x:c>
      <x:c r="J22" s="5" t="str">
        <x:v>ket-qua-kiem-thu.json; anh-kiem-thu/</x:v>
      </x:c>
      <x:c r="K22" s="5" t="str">
        <x:v>Pass</x:v>
      </x:c>
    </x:row>
    <x:row r="23" ht="24" hidden="0" customHeight="1">
      <x:c r="A23" s="4" t="str">
        <x:v>TC-UI-GY34-09</x:v>
      </x:c>
      <x:c r="B23" s="4" t="str">
        <x:v>GY-34</x:v>
      </x:c>
      <x:c r="C23" s="4" t="str">
        <x:v>UI desktop / API mô phỏng</x:v>
      </x:c>
      <x:c r="D23" s="4" t="str">
        <x:v>preview sai kiểu tiền không dùng làm báo giá</x:v>
      </x:c>
      <x:c r="E23" s="4" t="str">
        <x:v>Fixture test độc lập; desktop 1440×1000; quyền và dữ liệu theo từng ca</x:v>
      </x:c>
      <x:c r="F23" s="4" t="str">
        <x:v>Chạy ca trùng ID trong gopy-gy36-contract.spec.mjs</x:v>
      </x:c>
      <x:c r="G23" s="4" t="str">
        <x:v>Dữ liệu fixture hợp đồng; không dùng DB demo thật</x:v>
      </x:c>
      <x:c r="H23" s="4" t="str">
        <x:v>Assert trong ca đạt; thao tác gửi đúng API; không có pageerror ở các luồng chính</x:v>
      </x:c>
      <x:c r="I23" s="4" t="str">
        <x:v>tests/e2e/gopy-gy36-contract.spec.mjs</x:v>
      </x:c>
      <x:c r="J23" s="4" t="str">
        <x:v>ket-qua-kiem-thu.json; anh-kiem-thu/</x:v>
      </x:c>
      <x:c r="K23" s="4" t="str">
        <x:v>Pass</x:v>
      </x:c>
    </x:row>
    <x:row r="24" ht="24" hidden="0" customHeight="1">
      <x:c r="A24" s="5" t="str">
        <x:v>TC-UI-GY41-02</x:v>
      </x:c>
      <x:c r="B24" s="5" t="str">
        <x:v>GY-41</x:v>
      </x:c>
      <x:c r="C24" s="5" t="str">
        <x:v>UI desktop / API mô phỏng</x:v>
      </x:c>
      <x:c r="D24" s="5" t="str">
        <x:v>bảo lưu và kết thúc sớm đọc ngày từ BE</x:v>
      </x:c>
      <x:c r="E24" s="5" t="str">
        <x:v>Fixture test độc lập; desktop 1440×1000; quyền và dữ liệu theo từng ca</x:v>
      </x:c>
      <x:c r="F24" s="5" t="str">
        <x:v>Chạy ca trùng ID trong gopy-gy36-contract.spec.mjs</x:v>
      </x:c>
      <x:c r="G24" s="5" t="str">
        <x:v>Dữ liệu fixture hợp đồng; không dùng DB demo thật</x:v>
      </x:c>
      <x:c r="H24" s="5" t="str">
        <x:v>Assert trong ca đạt; thao tác gửi đúng API; không có pageerror ở các luồng chính</x:v>
      </x:c>
      <x:c r="I24" s="5" t="str">
        <x:v>tests/e2e/gopy-gy36-contract.spec.mjs</x:v>
      </x:c>
      <x:c r="J24" s="5" t="str">
        <x:v>ket-qua-kiem-thu.json; anh-kiem-thu/</x:v>
      </x:c>
      <x:c r="K24" s="5" t="str">
        <x:v>Pass</x:v>
      </x:c>
    </x:row>
    <x:row r="25" ht="24" hidden="0" customHeight="1">
      <x:c r="A25" s="4" t="str">
        <x:v>TC-UI-GY41-03</x:v>
      </x:c>
      <x:c r="B25" s="4" t="str">
        <x:v>GY-41</x:v>
      </x:c>
      <x:c r="C25" s="4" t="str">
        <x:v>UI desktop / API mô phỏng</x:v>
      </x:c>
      <x:c r="D25" s="4" t="str">
        <x:v>thiếu policy live không tự mặc định 7 ngày</x:v>
      </x:c>
      <x:c r="E25" s="4" t="str">
        <x:v>Fixture test độc lập; desktop 1440×1000; quyền và dữ liệu theo từng ca</x:v>
      </x:c>
      <x:c r="F25" s="4" t="str">
        <x:v>Chạy ca trùng ID trong gopy-gy36-contract.spec.mjs</x:v>
      </x:c>
      <x:c r="G25" s="4" t="str">
        <x:v>Dữ liệu fixture hợp đồng; không dùng DB demo thật</x:v>
      </x:c>
      <x:c r="H25" s="4" t="str">
        <x:v>Assert trong ca đạt; thao tác gửi đúng API; không có pageerror ở các luồng chính</x:v>
      </x:c>
      <x:c r="I25" s="4" t="str">
        <x:v>tests/e2e/gopy-gy36-contract.spec.mjs</x:v>
      </x:c>
      <x:c r="J25" s="4" t="str">
        <x:v>ket-qua-kiem-thu.json; anh-kiem-thu/</x:v>
      </x:c>
      <x:c r="K25" s="4" t="str">
        <x:v>Pass</x:v>
      </x:c>
    </x:row>
    <x:row r="26" ht="24" hidden="0" customHeight="1">
      <x:c r="A26" s="5" t="str">
        <x:v>TC-UI-GY34-10</x:v>
      </x:c>
      <x:c r="B26" s="5" t="str">
        <x:v>GY-34</x:v>
      </x:c>
      <x:c r="C26" s="5" t="str">
        <x:v>UI desktop / API mô phỏng</x:v>
      </x:c>
      <x:c r="D26" s="5" t="str">
        <x:v>tài khoản không có quyền không hiện hành động</x:v>
      </x:c>
      <x:c r="E26" s="5" t="str">
        <x:v>Fixture test độc lập; desktop 1440×1000; quyền và dữ liệu theo từng ca</x:v>
      </x:c>
      <x:c r="F26" s="5" t="str">
        <x:v>Chạy ca trùng ID trong gopy-gy36-contract.spec.mjs</x:v>
      </x:c>
      <x:c r="G26" s="5" t="str">
        <x:v>Dữ liệu fixture hợp đồng; không dùng DB demo thật</x:v>
      </x:c>
      <x:c r="H26" s="5" t="str">
        <x:v>Assert trong ca đạt; thao tác gửi đúng API; không có pageerror ở các luồng chính</x:v>
      </x:c>
      <x:c r="I26" s="5" t="str">
        <x:v>tests/e2e/gopy-gy36-contract.spec.mjs</x:v>
      </x:c>
      <x:c r="J26" s="5" t="str">
        <x:v>ket-qua-kiem-thu.json; anh-kiem-thu/</x:v>
      </x:c>
      <x:c r="K26" s="5" t="str">
        <x:v>Pass</x:v>
      </x:c>
    </x:row>
    <x:row r="27" ht="24" hidden="0" customHeight="1">
      <x:c r="A27" s="4" t="str">
        <x:v>TC-UI-GY31-05</x:v>
      </x:c>
      <x:c r="B27" s="4" t="str">
        <x:v>GY-31</x:v>
      </x:c>
      <x:c r="C27" s="4" t="str">
        <x:v>UI desktop / API mô phỏng</x:v>
      </x:c>
      <x:c r="D27" s="4" t="str">
        <x:v>chưa có deadline không dùng hạn hủy toàn khóa</x:v>
      </x:c>
      <x:c r="E27" s="4" t="str">
        <x:v>Fixture test độc lập; desktop 1440×1000; quyền và dữ liệu theo từng ca</x:v>
      </x:c>
      <x:c r="F27" s="4" t="str">
        <x:v>Chạy ca trùng ID trong gopy-gy36-contract.spec.mjs</x:v>
      </x:c>
      <x:c r="G27" s="4" t="str">
        <x:v>Dữ liệu fixture hợp đồng; không dùng DB demo thật</x:v>
      </x:c>
      <x:c r="H27" s="4" t="str">
        <x:v>Assert trong ca đạt; thao tác gửi đúng API; không có pageerror ở các luồng chính</x:v>
      </x:c>
      <x:c r="I27" s="4" t="str">
        <x:v>tests/e2e/gopy-gy36-contract.spec.mjs</x:v>
      </x:c>
      <x:c r="J27" s="4" t="str">
        <x:v>ket-qua-kiem-thu.json; anh-kiem-thu/</x:v>
      </x:c>
      <x:c r="K27" s="4" t="str">
        <x:v>Pass</x:v>
      </x:c>
    </x:row>
    <x:row r="28" ht="24" hidden="0" customHeight="1">
      <x:c r="A28" s="5" t="str">
        <x:v>TC-UI-GY34-11</x:v>
      </x:c>
      <x:c r="B28" s="5" t="str">
        <x:v>GY-34</x:v>
      </x:c>
      <x:c r="C28" s="5" t="str">
        <x:v>UI desktop / API mô phỏng</x:v>
      </x:c>
      <x:c r="D28" s="5" t="str">
        <x:v>lỗi hủy từ BE giữ hộp và lý do để xử lý lại</x:v>
      </x:c>
      <x:c r="E28" s="5" t="str">
        <x:v>Fixture test độc lập; desktop 1440×1000; quyền và dữ liệu theo từng ca</x:v>
      </x:c>
      <x:c r="F28" s="5" t="str">
        <x:v>Chạy ca trùng ID trong gopy-gy36-contract.spec.mjs</x:v>
      </x:c>
      <x:c r="G28" s="5" t="str">
        <x:v>Dữ liệu fixture hợp đồng; không dùng DB demo thật</x:v>
      </x:c>
      <x:c r="H28" s="5" t="str">
        <x:v>Assert trong ca đạt; thao tác gửi đúng API; không có pageerror ở các luồng chính</x:v>
      </x:c>
      <x:c r="I28" s="5" t="str">
        <x:v>tests/e2e/gopy-gy36-contract.spec.mjs</x:v>
      </x:c>
      <x:c r="J28" s="5" t="str">
        <x:v>ket-qua-kiem-thu.json; anh-kiem-thu/</x:v>
      </x:c>
      <x:c r="K28" s="5" t="str">
        <x:v>Pass</x:v>
      </x:c>
    </x:row>
    <x:row r="29" ht="24" hidden="0" customHeight="1">
      <x:c r="A29" s="4" t="str">
        <x:v>TC-UI-GY34-12</x:v>
      </x:c>
      <x:c r="B29" s="4" t="str">
        <x:v>GY-34</x:v>
      </x:c>
      <x:c r="C29" s="4" t="str">
        <x:v>UI desktop / API mô phỏng</x:v>
      </x:c>
      <x:c r="D29" s="4" t="str">
        <x:v>đổi thừa tiền yêu cầu chọn hoàn hoặc số dư</x:v>
      </x:c>
      <x:c r="E29" s="4" t="str">
        <x:v>Fixture test độc lập; desktop 1440×1000; quyền và dữ liệu theo từng ca</x:v>
      </x:c>
      <x:c r="F29" s="4" t="str">
        <x:v>Chạy ca trùng ID trong gopy-gy36-contract.spec.mjs</x:v>
      </x:c>
      <x:c r="G29" s="4" t="str">
        <x:v>Dữ liệu fixture hợp đồng; không dùng DB demo thật</x:v>
      </x:c>
      <x:c r="H29" s="4" t="str">
        <x:v>Assert trong ca đạt; thao tác gửi đúng API; không có pageerror ở các luồng chính</x:v>
      </x:c>
      <x:c r="I29" s="4" t="str">
        <x:v>tests/e2e/gopy-gy36-contract.spec.mjs</x:v>
      </x:c>
      <x:c r="J29" s="4" t="str">
        <x:v>ket-qua-kiem-thu.json; anh-kiem-thu/</x:v>
      </x:c>
      <x:c r="K29" s="4" t="str">
        <x:v>Pass</x:v>
      </x:c>
    </x:row>
    <x:row r="30" ht="24" hidden="0" customHeight="1">
      <x:c r="A30" s="5" t="str">
        <x:v>TC-UI-GY34-13</x:v>
      </x:c>
      <x:c r="B30" s="5" t="str">
        <x:v>GY-34</x:v>
      </x:c>
      <x:c r="C30" s="5" t="str">
        <x:v>UI desktop / API mô phỏng</x:v>
      </x:c>
      <x:c r="D30" s="5" t="str">
        <x:v>số dư thay đổi thì hiện lỗi BE và giữ hóa đơn</x:v>
      </x:c>
      <x:c r="E30" s="5" t="str">
        <x:v>Fixture test độc lập; desktop 1440×1000; quyền và dữ liệu theo từng ca</x:v>
      </x:c>
      <x:c r="F30" s="5" t="str">
        <x:v>Chạy ca trùng ID trong gopy-gy36-contract.spec.mjs</x:v>
      </x:c>
      <x:c r="G30" s="5" t="str">
        <x:v>Dữ liệu fixture hợp đồng; không dùng DB demo thật</x:v>
      </x:c>
      <x:c r="H30" s="5" t="str">
        <x:v>Assert trong ca đạt; thao tác gửi đúng API; không có pageerror ở các luồng chính</x:v>
      </x:c>
      <x:c r="I30" s="5" t="str">
        <x:v>tests/e2e/gopy-gy36-contract.spec.mjs</x:v>
      </x:c>
      <x:c r="J30" s="5" t="str">
        <x:v>ket-qua-kiem-thu.json; anh-kiem-thu/</x:v>
      </x:c>
      <x:c r="K30" s="5" t="str">
        <x:v>Pass</x:v>
      </x:c>
    </x:row>
    <x:row r="31" ht="24" hidden="0" customHeight="1">
      <x:c r="A31" s="4" t="str">
        <x:v>TC-UI-GY41-04</x:v>
      </x:c>
      <x:c r="B31" s="4" t="str">
        <x:v>GY-41</x:v>
      </x:c>
      <x:c r="C31" s="4" t="str">
        <x:v>UI desktop / API mô phỏng</x:v>
      </x:c>
      <x:c r="D31" s="4" t="str">
        <x:v>không gửi khoảng nghỉ ít hơn minDays live</x:v>
      </x:c>
      <x:c r="E31" s="4" t="str">
        <x:v>Fixture test độc lập; desktop 1440×1000; quyền và dữ liệu theo từng ca</x:v>
      </x:c>
      <x:c r="F31" s="4" t="str">
        <x:v>Chạy ca trùng ID trong gopy-gy36-contract.spec.mjs</x:v>
      </x:c>
      <x:c r="G31" s="4" t="str">
        <x:v>Dữ liệu fixture hợp đồng; không dùng DB demo thật</x:v>
      </x:c>
      <x:c r="H31" s="4" t="str">
        <x:v>Assert trong ca đạt; thao tác gửi đúng API; không có pageerror ở các luồng chính</x:v>
      </x:c>
      <x:c r="I31" s="4" t="str">
        <x:v>tests/e2e/gopy-gy36-contract.spec.mjs</x:v>
      </x:c>
      <x:c r="J31" s="4" t="str">
        <x:v>ket-qua-kiem-thu.json; anh-kiem-thu/</x:v>
      </x:c>
      <x:c r="K31" s="4" t="str">
        <x:v>Pass</x:v>
      </x:c>
    </x:row>
    <x:row r="32" ht="24" hidden="0" customHeight="1">
      <x:c r="A32" s="5" t="str">
        <x:v>TC-UI-GY41-05</x:v>
      </x:c>
      <x:c r="B32" s="5" t="str">
        <x:v>GY-41</x:v>
      </x:c>
      <x:c r="C32" s="5" t="str">
        <x:v>UI desktop / API mô phỏng</x:v>
      </x:c>
      <x:c r="D32" s="5" t="str">
        <x:v>không chọn ngày vượt ngân sách bảo lưu còn lại</x:v>
      </x:c>
      <x:c r="E32" s="5" t="str">
        <x:v>Fixture test độc lập; desktop 1440×1000; quyền và dữ liệu theo từng ca</x:v>
      </x:c>
      <x:c r="F32" s="5" t="str">
        <x:v>Chạy ca trùng ID trong gopy-gy36-contract.spec.mjs</x:v>
      </x:c>
      <x:c r="G32" s="5" t="str">
        <x:v>Dữ liệu fixture hợp đồng; không dùng DB demo thật</x:v>
      </x:c>
      <x:c r="H32" s="5" t="str">
        <x:v>Assert trong ca đạt; thao tác gửi đúng API; không có pageerror ở các luồng chính</x:v>
      </x:c>
      <x:c r="I32" s="5" t="str">
        <x:v>tests/e2e/gopy-gy36-contract.spec.mjs</x:v>
      </x:c>
      <x:c r="J32" s="5" t="str">
        <x:v>ket-qua-kiem-thu.json; anh-kiem-thu/</x:v>
      </x:c>
      <x:c r="K32" s="5" t="str">
        <x:v>Pass</x:v>
      </x:c>
    </x:row>
    <x:row r="33" ht="15" hidden="0" customHeight="1">
      <x:c r="A33" s="4" t="str">
        <x:v>TC-LIVE-GY31-01</x:v>
      </x:c>
      <x:c r="B33" s="4" t="str">
        <x:v>GY-31</x:v>
      </x:c>
      <x:c r="C33" s="4" t="str">
        <x:v>E2E / API và DB thật</x:v>
      </x:c>
      <x:c r="D33" s="4" t="str">
        <x:v>Báo nghỉ và HLV thấy Xin nghỉ</x:v>
      </x:c>
      <x:c r="E33" s="4" t="str">
        <x:v>Chờ GY-00, GY-30 và tích hợp AttendanceTable</x:v>
      </x:c>
      <x:c r="F33" s="4" t="str">
        <x:v>Hội viên báo nghỉ; đăng nhập HLV và mở Điểm danh</x:v>
      </x:c>
      <x:c r="G33" s="4" t="str">
        <x:v>Buổi còn hạn; đăng ký đã trả tiền</x:v>
      </x:c>
      <x:c r="H33" s="4" t="str">
        <x:v>Attendance EXCUSED lưu DB; hiển thị đúng cho HLV</x:v>
      </x:c>
      <x:c r="I33" s="4" t="str">
        <x:v>Chưa chạy — cần BE/GY-00</x:v>
      </x:c>
      <x:c r="J33" s="4" t="str">
        <x:v>Chờ GY-00, GY-30 và tích hợp AttendanceTable</x:v>
      </x:c>
      <x:c r="K33" s="4" t="str">
        <x:v>Blocked</x:v>
      </x:c>
    </x:row>
    <x:row r="34" ht="24" hidden="0" customHeight="1">
      <x:c r="A34" s="5" t="str">
        <x:v>TC-LIVE-GY34-01</x:v>
      </x:c>
      <x:c r="B34" s="5" t="str">
        <x:v>GY-34</x:v>
      </x:c>
      <x:c r="C34" s="5" t="str">
        <x:v>E2E / API và DB thật</x:v>
      </x:c>
      <x:c r="D34" s="5" t="str">
        <x:v>Hủy khóa rồi dùng số dư mua gói</x:v>
      </x:c>
      <x:c r="E34" s="5" t="str">
        <x:v>Chờ GY-20/32/33 và các khe thanh toán GY-00</x:v>
      </x:c>
      <x:c r="F34" s="5" t="str">
        <x:v>Hủy nhận CREDIT; tạo đơn gói; dùng số dư; kiểm tra QR/tiền mặt</x:v>
      </x:c>
      <x:c r="G34" s="5" t="str">
        <x:v>Khóa 1.200.000/18 buổi, đã học 6</x:v>
      </x:c>
      <x:c r="H34" s="5" t="str">
        <x:v>Hoàn 720.000 vào sổ; hóa đơn mới chỉ thu phần thiếu</x:v>
      </x:c>
      <x:c r="I34" s="5" t="str">
        <x:v>Chưa chạy — cần BE/GY-00</x:v>
      </x:c>
      <x:c r="J34" s="5" t="str">
        <x:v>Chờ GY-20/32/33 và các khe thanh toán GY-00</x:v>
      </x:c>
      <x:c r="K34" s="5" t="str">
        <x:v>Blocked</x:v>
      </x:c>
    </x:row>
    <x:row r="35" ht="15" hidden="0" customHeight="1">
      <x:c r="A35" s="4" t="str">
        <x:v>TC-LIVE-GY34-02</x:v>
      </x:c>
      <x:c r="B35" s="4" t="str">
        <x:v>GY-34</x:v>
      </x:c>
      <x:c r="C35" s="4" t="str">
        <x:v>E2E / API và DB thật</x:v>
      </x:c>
      <x:c r="D35" s="4" t="str">
        <x:v>Đổi lớp thu thêm và webhook thật</x:v>
      </x:c>
      <x:c r="E35" s="4" t="str">
        <x:v>Chờ GY-20/35, ADJUSTMENT và webhook</x:v>
      </x:c>
      <x:c r="F35" s="4" t="str">
        <x:v>Đổi lớp; mở hóa đơn chênh lệch; giả lập webhook vào BE</x:v>
      </x:c>
      <x:c r="G35" s="4" t="str">
        <x:v>remaining=800.000,newPrice=1.500.000</x:v>
      </x:c>
      <x:c r="H35" s="4" t="str">
        <x:v>Thu thêm 700.000; chỉ đổi khi BE xác nhận đủ tiền</x:v>
      </x:c>
      <x:c r="I35" s="4" t="str">
        <x:v>Chưa chạy — cần BE/GY-00</x:v>
      </x:c>
      <x:c r="J35" s="4" t="str">
        <x:v>Chờ GY-20/35, ADJUSTMENT và webhook</x:v>
      </x:c>
      <x:c r="K35" s="4" t="str">
        <x:v>Blocked</x:v>
      </x:c>
    </x:row>
    <x:row r="36" ht="15" hidden="0" customHeight="1">
      <x:c r="A36" s="5" t="str">
        <x:v>TC-LIVE-GY41-01</x:v>
      </x:c>
      <x:c r="B36" s="5" t="str">
        <x:v>GY-41</x:v>
      </x:c>
      <x:c r="C36" s="5" t="str">
        <x:v>E2E / API và DB thật</x:v>
      </x:c>
      <x:c r="D36" s="5" t="str">
        <x:v>Bảo lưu và mở sớm trên DB</x:v>
      </x:c>
      <x:c r="E36" s="5" t="str">
        <x:v>Chờ GY-40, cấu hình min live và schema GY-00</x:v>
      </x:c>
      <x:c r="F36" s="5" t="str">
        <x:v>Bảo lưu, kết thúc sớm, kiểm tra thời hạn và lịch sử</x:v>
      </x:c>
      <x:c r="G36" s="5" t="str">
        <x:v>MIN_DAYS theo setting; tổng≤60</x:v>
      </x:c>
      <x:c r="H36" s="5" t="str">
        <x:v>FROZEN/ACTIVE thật; cộng đúng ngày thực nghỉ một lần</x:v>
      </x:c>
      <x:c r="I36" s="5" t="str">
        <x:v>Chưa chạy — cần BE/GY-00</x:v>
      </x:c>
      <x:c r="J36" s="5" t="str">
        <x:v>Chờ GY-40, cấu hình min live và schema GY-00</x:v>
      </x:c>
      <x:c r="K36" s="5" t="str">
        <x:v>Blocked</x:v>
      </x:c>
    </x:row>
    <x:row r="37" ht="15" hidden="0" customHeight="1">
      <x:c r="A37" s="4" t="str">
        <x:v>TC-LIVE-GY41-02</x:v>
      </x:c>
      <x:c r="B37" s="4" t="str">
        <x:v>GY-41</x:v>
      </x:c>
      <x:c r="C37" s="4" t="str">
        <x:v>E2E / API và DB thật</x:v>
      </x:c>
      <x:c r="D37" s="4" t="str">
        <x:v>Job tự tiếp tục</x:v>
      </x:c>
      <x:c r="E37" s="4" t="str">
        <x:v>Chờ freeze-resume.job và seed demo mới</x:v>
      </x:c>
      <x:c r="F37" s="4" t="str">
        <x:v>Cho bảo lưu tới hạn; chạy job lặp và check-in</x:v>
      </x:c>
      <x:c r="G37" s="4" t="str">
        <x:v>Lịch bảo lưu hết hạn</x:v>
      </x:c>
      <x:c r="H37" s="4" t="str">
        <x:v>Tự mở lại, báo hội viên, không cộng trùng ngày</x:v>
      </x:c>
      <x:c r="I37" s="4" t="str">
        <x:v>Chưa chạy — cần BE/GY-00</x:v>
      </x:c>
      <x:c r="J37" s="4" t="str">
        <x:v>Chờ freeze-resume.job và seed demo mới</x:v>
      </x:c>
      <x:c r="K37" s="4" t="str">
        <x:v>Blocked</x:v>
      </x:c>
    </x:row>
    <x:row r="38" ht="24" hidden="0" customHeight="1">
      <x:c r="A38" s="5" t="str">
        <x:v>TC-LIVE-GY34-03</x:v>
      </x:c>
      <x:c r="B38" s="5" t="str">
        <x:v>GY-34</x:v>
      </x:c>
      <x:c r="C38" s="5" t="str">
        <x:v>E2E / API và DB thật</x:v>
      </x:c>
      <x:c r="D38" s="5" t="str">
        <x:v>Hồ sơ, hội viên và phạm vi dữ liệu</x:v>
      </x:c>
      <x:c r="E38" s="5" t="str">
        <x:v>Chờ host Profile/MemberDetail và API credit</x:v>
      </x:c>
      <x:c r="F38" s="5" t="str">
        <x:v>Mở CreditPanel ở hai host; đổi ID bằng tài khoản thiếu quyền</x:v>
      </x:c>
      <x:c r="G38" s="5" t="str">
        <x:v>Chủ sở hữu / lễ tân / người ngoài phạm vi</x:v>
      </x:c>
      <x:c r="H38" s="5" t="str">
        <x:v>Số dư và lịch sử đúng; BE từ chối truy cập ngoài quyền</x:v>
      </x:c>
      <x:c r="I38" s="5" t="str">
        <x:v>Chưa chạy — cần BE/GY-00</x:v>
      </x:c>
      <x:c r="J38" s="5" t="str">
        <x:v>Chờ host Profile/MemberDetail và API credit</x:v>
      </x:c>
      <x:c r="K38" s="5" t="str">
        <x:v>Blocked</x:v>
      </x:c>
    </x:row>
    <x:row r="39" ht="15" hidden="0" customHeight="1">
      <x:c r="A39" s="4" t="str">
        <x:v>TC-LIVE-GY34-04</x:v>
      </x:c>
      <x:c r="B39" s="4" t="str">
        <x:v>GY-34</x:v>
      </x:c>
      <x:c r="C39" s="4" t="str">
        <x:v>E2E / API và DB thật</x:v>
      </x:c>
      <x:c r="D39" s="4" t="str">
        <x:v>Hai thanh toán tranh số dư cuối</x:v>
      </x:c>
      <x:c r="E39" s="4" t="str">
        <x:v>Chờ transaction và khóa số dư ở BE</x:v>
      </x:c>
      <x:c r="F39" s="4" t="str">
        <x:v>Gửi apply-credit đồng thời hai hóa đơn</x:v>
      </x:c>
      <x:c r="G39" s="4" t="str">
        <x:v>Một số dư, hai đơn chờ</x:v>
      </x:c>
      <x:c r="H39" s="4" t="str">
        <x:v>Sổ đối chiếu đúng, không âm, không chi hai lần</x:v>
      </x:c>
      <x:c r="I39" s="4" t="str">
        <x:v>Chưa chạy — cần BE/GY-00</x:v>
      </x:c>
      <x:c r="J39" s="4" t="str">
        <x:v>Chờ transaction và khóa số dư ở BE</x:v>
      </x:c>
      <x:c r="K39" s="4" t="str">
        <x:v>Blocked</x:v>
      </x:c>
    </x:row>
  </x:sheetData>
  <x:conditionalFormatting sqref="K5:K39">
    <x:cfRule type="expression" dxfId="0" priority="1">
      <x:formula>$K5="Blocked"</x:formula>
    </x:cfRule>
    <x:cfRule type="expression" dxfId="1" priority="2">
      <x:formula>$K5="Fail"</x:formula>
    </x:cfRule>
  </x:conditionalFormatting>
  <x:dataValidations count="1">
    <x:dataValidation type="list" sqref="K5:K39">
      <x:formula1>"Pass,Fail,Blocked,Chưa chạy"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cde0e28ea406c"/>
  </x:tableParts>
</x:worksheet>
</file>